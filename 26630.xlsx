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2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34b1768097d8e9/桌面/ZHHF/Data Dashboard/"/>
    </mc:Choice>
  </mc:AlternateContent>
  <xr:revisionPtr revIDLastSave="142" documentId="11_405541DB909B7A2E2F34A373A5AA7B397C62A598" xr6:coauthVersionLast="47" xr6:coauthVersionMax="47" xr10:uidLastSave="{07ACF5E4-5D0F-4773-BC67-6311FBD74939}"/>
  <bookViews>
    <workbookView xWindow="-110" yWindow="-110" windowWidth="25820" windowHeight="15500" xr2:uid="{00000000-000D-0000-FFFF-FFFF00000000}"/>
  </bookViews>
  <sheets>
    <sheet name="Sheet1" sheetId="12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I">#REF!</definedName>
    <definedName name="\P">#REF!</definedName>
    <definedName name="_">#REF!,#REF!,#REF!,#REF!,#REF!,#REF!,#REF!,#REF!,#REF!,#REF!</definedName>
    <definedName name="_______ISC3">#REF!+#REF!</definedName>
    <definedName name="______ISC3">#REF!+#REF!</definedName>
    <definedName name="_____ISC3">#REF!+#REF!</definedName>
    <definedName name="____ISC3">#REF!+#REF!</definedName>
    <definedName name="___ISC3">#REF!+#REF!</definedName>
    <definedName name="__123Graph_A">#REF!</definedName>
    <definedName name="__123Graph_ABERLGRAP">#REF!</definedName>
    <definedName name="__123Graph_ACATCH1">#REF!</definedName>
    <definedName name="__123Graph_ACONVERG1">#REF!</definedName>
    <definedName name="__123Graph_AECTOT">#REF!</definedName>
    <definedName name="__123Graph_AGRAPH2">#REF!</definedName>
    <definedName name="__123Graph_AGRAPH41">#REF!</definedName>
    <definedName name="__123Graph_AGRAPH42">#REF!</definedName>
    <definedName name="__123Graph_AGRAPH44">#REF!</definedName>
    <definedName name="__123Graph_APERIB">#REF!</definedName>
    <definedName name="__123Graph_APRODABSC">#REF!</definedName>
    <definedName name="__123Graph_APRODABSD">#REF!</definedName>
    <definedName name="__123Graph_APRODTRE2">#REF!</definedName>
    <definedName name="__123Graph_APRODTRE3">#REF!</definedName>
    <definedName name="__123Graph_APRODTRE4">#REF!</definedName>
    <definedName name="__123Graph_APRODTREND">#REF!</definedName>
    <definedName name="__123Graph_AUTRECHT">#REF!</definedName>
    <definedName name="__123Graph_B">#REF!</definedName>
    <definedName name="__123Graph_BBERLGRAP">#REF!</definedName>
    <definedName name="__123Graph_BCATCH1">#REF!</definedName>
    <definedName name="__123Graph_BCONVERG1">#REF!</definedName>
    <definedName name="__123Graph_BECTOT">#REF!</definedName>
    <definedName name="__123Graph_BGRAPH2">#REF!</definedName>
    <definedName name="__123Graph_BGRAPH41">#REF!</definedName>
    <definedName name="__123Graph_BPERIB">#REF!</definedName>
    <definedName name="__123Graph_BPRODABSC">#REF!</definedName>
    <definedName name="__123Graph_BPRODABSD">#REF!</definedName>
    <definedName name="__123Graph_C">#REF!</definedName>
    <definedName name="__123Graph_CBERLGRAP">#REF!</definedName>
    <definedName name="__123Graph_CCATCH1">#REF!</definedName>
    <definedName name="__123Graph_CCONVERG1">#REF!</definedName>
    <definedName name="__123Graph_CECTOT">#REF!</definedName>
    <definedName name="__123Graph_CGRAPH41">#REF!</definedName>
    <definedName name="__123Graph_CGRAPH44">#REF!</definedName>
    <definedName name="__123Graph_CPERIA">#REF!</definedName>
    <definedName name="__123Graph_CPERIB">#REF!</definedName>
    <definedName name="__123Graph_CPRODABSC">#REF!</definedName>
    <definedName name="__123Graph_CPRODTRE2">#REF!</definedName>
    <definedName name="__123Graph_CPRODTREND">#REF!</definedName>
    <definedName name="__123Graph_CUTRECHT">#REF!</definedName>
    <definedName name="__123Graph_D">#REF!</definedName>
    <definedName name="__123Graph_DBERLGRAP">#REF!</definedName>
    <definedName name="__123Graph_DCATCH1">#REF!</definedName>
    <definedName name="__123Graph_DCONVERG1">#REF!</definedName>
    <definedName name="__123Graph_DECTOT">#REF!</definedName>
    <definedName name="__123Graph_DGRAPH41">#REF!</definedName>
    <definedName name="__123Graph_DPERIA">#REF!</definedName>
    <definedName name="__123Graph_DPERIB">#REF!</definedName>
    <definedName name="__123Graph_DPRODABSC">#REF!</definedName>
    <definedName name="__123Graph_DUTRECHT">#REF!</definedName>
    <definedName name="__123Graph_E">#REF!</definedName>
    <definedName name="__123Graph_EBERLGRAP">#REF!</definedName>
    <definedName name="__123Graph_ECATCH1">#REF!</definedName>
    <definedName name="__123Graph_ECONVERG1">#REF!</definedName>
    <definedName name="__123Graph_EECTOT">#REF!</definedName>
    <definedName name="__123Graph_EGRAPH41">#REF!</definedName>
    <definedName name="__123Graph_EPERIA">#REF!</definedName>
    <definedName name="__123Graph_EPRODABSC">#REF!</definedName>
    <definedName name="__123Graph_FBERLGRAP">#REF!</definedName>
    <definedName name="__123Graph_FGRAPH41">#REF!</definedName>
    <definedName name="__123Graph_FPRODABSC">#REF!</definedName>
    <definedName name="__123Graph_X">#REF!</definedName>
    <definedName name="__123Graph_XECTOT">#REF!</definedName>
    <definedName name="__FDS_HYPERLINK_TOGGLE_STATE__" hidden="1">"ON"</definedName>
    <definedName name="__ISC01">#REF!</definedName>
    <definedName name="__ISC2">#REF!</definedName>
    <definedName name="__ISC3">#REF!+#REF!</definedName>
    <definedName name="__ISC567">#REF!</definedName>
    <definedName name="_1__123Graph_AChart_1" hidden="1">#REF!</definedName>
    <definedName name="_10__123Graph_CSWE_EMPL">#REF!</definedName>
    <definedName name="_11__123Graph_CSWE_EMPL">#REF!</definedName>
    <definedName name="_2" hidden="1">#REF!</definedName>
    <definedName name="_2__123Graph_AChart_1">#REF!</definedName>
    <definedName name="_2__123Graph_ADEV_EMPL" hidden="1">#REF!</definedName>
    <definedName name="_22" hidden="1">#REF!</definedName>
    <definedName name="_234" hidden="1">#REF!</definedName>
    <definedName name="_3._Consists_of_utilities__wholesale_trade__retail_trade__transportation_and_warehousing__information__finance_and_insurance__real_estate_and_rental_and_leasing__professional__scientific_and_technical_services__management_of_companies_and_enterprises__adm">#REF!</definedName>
    <definedName name="_3__123Graph_AChart_1">#REF!</definedName>
    <definedName name="_3__123Graph_BDEV_EMPL" hidden="1">#REF!</definedName>
    <definedName name="_4__123Graph_ADEV_EMPL">#REF!</definedName>
    <definedName name="_4__123Graph_CDEV_EMPL" hidden="1">#REF!</definedName>
    <definedName name="_5__123Graph_ADEV_EMPL">#REF!</definedName>
    <definedName name="_5__123Graph_CSWE_EMPL" hidden="1">#REF!</definedName>
    <definedName name="_6__123Graph_BDEV_EMPL">#REF!</definedName>
    <definedName name="_6Y">#REF!,#REF!,#REF!,#REF!,#REF!,#REF!,#REF!,#REF!,#REF!,#REF!</definedName>
    <definedName name="_7__123Graph_BDEV_EMPL">#REF!</definedName>
    <definedName name="_8__123Graph_CDEV_EMPL">#REF!</definedName>
    <definedName name="_9__123Graph_CDEV_EMPL">#REF!</definedName>
    <definedName name="_aaa" hidden="1">#REF!</definedName>
    <definedName name="_DLX1.USE">#REF!</definedName>
    <definedName name="_DLX2.USE">#REF!</definedName>
    <definedName name="_DLX3.USE">#REF!</definedName>
    <definedName name="_Fill">#REF!</definedName>
    <definedName name="_ISC01">#REF!</definedName>
    <definedName name="_ISC2">#REF!</definedName>
    <definedName name="_ISC3">#REF!+#REF!</definedName>
    <definedName name="_ISC567">#REF!</definedName>
    <definedName name="_Key1" hidden="1">#REF!</definedName>
    <definedName name="_Order1">255</definedName>
    <definedName name="_Regression_Out">#REF!</definedName>
    <definedName name="_Regression_X">#REF!</definedName>
    <definedName name="_Regression_Y">#REF!</definedName>
    <definedName name="_Sort" hidden="1">#REF!</definedName>
    <definedName name="_wageinflation">#REF!</definedName>
    <definedName name="A">#REF!</definedName>
    <definedName name="a1___issr_out_first_of_mkt_sector">#REF!</definedName>
    <definedName name="aa">#REF!</definedName>
    <definedName name="aaa">4</definedName>
    <definedName name="aaaa">OFFSET(#REF!,0,0,COUNTA(#REF!)-71)</definedName>
    <definedName name="AccountMethod">#REF!</definedName>
    <definedName name="acdr_average">#REF!</definedName>
    <definedName name="acdr_avg_head">#REF!</definedName>
    <definedName name="acdr_cohort_annual_default">#REF!</definedName>
    <definedName name="acdr_cohort_cum_default">#REF!</definedName>
    <definedName name="acdr_cohort_name">#REF!</definedName>
    <definedName name="acdr_cohort_year">#REF!</definedName>
    <definedName name="aj">#REF!</definedName>
    <definedName name="akldfjaljfld">#REF!</definedName>
    <definedName name="asd">#REF!</definedName>
    <definedName name="asdasdas">#REF!</definedName>
    <definedName name="Australia_5B">#REF!</definedName>
    <definedName name="Austria_5B">#REF!</definedName>
    <definedName name="B">#REF!</definedName>
    <definedName name="base">#REF!</definedName>
    <definedName name="base1">#REF!</definedName>
    <definedName name="basenew">#REF!</definedName>
    <definedName name="Belgium_5B">#REF!</definedName>
    <definedName name="biao11">OFFSET(#REF!,0,0,COUNTA(#REF!)-71)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oxPlot">"BoxPlot"</definedName>
    <definedName name="Bubble">"Bubble"</definedName>
    <definedName name="BUILD_MSPD">#REF!</definedName>
    <definedName name="CAAGR_tolerance">200</definedName>
    <definedName name="calcul">#REF!</definedName>
    <definedName name="calcul1">#REF!</definedName>
    <definedName name="Candlestick">"Candlestick"</definedName>
    <definedName name="cbo_q_data">#REF!</definedName>
    <definedName name="ccccc">#REF!</definedName>
    <definedName name="CELLTEST">#REF!</definedName>
    <definedName name="CFRSample">#REF!</definedName>
    <definedName name="Chart">"Chart"</definedName>
    <definedName name="chart12">#REF!</definedName>
    <definedName name="ChartImage">"ChartImage"</definedName>
    <definedName name="ci50rnge">#REF!</definedName>
    <definedName name="CIQWBGuid" hidden="1">"843681d8-ae83-4dd5-b5eb-9ae531d43ca6"</definedName>
    <definedName name="cmegraph1" hidden="1">#REF!</definedName>
    <definedName name="cmegraph2" hidden="1">#REF!</definedName>
    <definedName name="cmegraph3" hidden="1">#REF!</definedName>
    <definedName name="CoherenceInterval">#REF!</definedName>
    <definedName name="ColumnRange">"ColumnRange"</definedName>
    <definedName name="component">#REF!</definedName>
    <definedName name="Country">#REF!</definedName>
    <definedName name="current_month">#REF!</definedName>
    <definedName name="Czech_Republic_5B">#REF!</definedName>
    <definedName name="_xlnm.Database">#REF!</definedName>
    <definedName name="DATABASE_2012INP">#REF!</definedName>
    <definedName name="DataEntryBlock10">#REF!</definedName>
    <definedName name="DataEntryBlock11">#REF!</definedName>
    <definedName name="DataEntryBlock12">#REF!</definedName>
    <definedName name="DataEntryBlock13">#REF!</definedName>
    <definedName name="DataEntryBlock14">#REF!</definedName>
    <definedName name="DataEntryBlock15">#REF!</definedName>
    <definedName name="datanew">#REF!</definedName>
    <definedName name="DataUnit_T9">#REF!</definedName>
    <definedName name="date_var">#REF!</definedName>
    <definedName name="datesraw">#REF!</definedName>
    <definedName name="DebtFinancing">#REF!</definedName>
    <definedName name="décalage">#REF!</definedName>
    <definedName name="Denmark_5B">#REF!</definedName>
    <definedName name="DepositRate">#REF!</definedName>
    <definedName name="DETAILROW1">#REF!</definedName>
    <definedName name="DETAILROW3">#REF!</definedName>
    <definedName name="dfez">#REF!</definedName>
    <definedName name="dfqsdf">#REF!</definedName>
    <definedName name="dpogjr" hidden="1">#REF!</definedName>
    <definedName name="Dumbbell">"Dumbbell"</definedName>
    <definedName name="EFW">#REF!</definedName>
    <definedName name="elections_date">#REF!</definedName>
    <definedName name="end">#REF!</definedName>
    <definedName name="ENDROW">#REF!</definedName>
    <definedName name="EndYear">#REF!</definedName>
    <definedName name="EOproj">#REF!</definedName>
    <definedName name="EQUAL">#REF!</definedName>
    <definedName name="error_text">#REF!</definedName>
    <definedName name="EstiDate">#REF!</definedName>
    <definedName name="EV">#REF!</definedName>
    <definedName name="f1_time">#REF!</definedName>
    <definedName name="FAMERangeLUXAB4">#REF!</definedName>
    <definedName name="FAMERangeSheet1C6">#REF!</definedName>
    <definedName name="FAMERangeSheet1F6">#REF!</definedName>
    <definedName name="FAMERangeSheet1F8">#REF!</definedName>
    <definedName name="FAMERangeSheet1H8">#REF!</definedName>
    <definedName name="FAMERangeSheet1J8">#REF!</definedName>
    <definedName name="FAMERangeSHNLGAB105">#REF!</definedName>
    <definedName name="FAMERangeSHNLGAB112">#REF!</definedName>
    <definedName name="FAMERangeSHNLGAB59">#REF!</definedName>
    <definedName name="FAMERangeSHNLGAB84">#REF!</definedName>
    <definedName name="FAMERangeSHNLGAB86">#REF!</definedName>
    <definedName name="FAMERangeSHNLGCAB42">#REF!</definedName>
    <definedName name="FAMERangeSHNLGCM57">#REF!</definedName>
    <definedName name="FAMERangeSHNLGCX57">#REF!</definedName>
    <definedName name="FAMERangeSHNLGD55">#REF!</definedName>
    <definedName name="FAMERangeSHNLGMAB61">#REF!</definedName>
    <definedName name="FAMERangeSHNLGPSTU60">#REF!</definedName>
    <definedName name="FAMERangeSHYPGTAB77">#REF!</definedName>
    <definedName name="FAMERangeSHYPGTD34">#REF!</definedName>
    <definedName name="FAMERangeSHYPGTG55">#REF!</definedName>
    <definedName name="FAMERangeSHYPGTN51">#REF!</definedName>
    <definedName name="FAMERangeSHYPGTQ17">#REF!</definedName>
    <definedName name="ff" hidden="1">#REF!</definedName>
    <definedName name="ffff" hidden="1">#REF!</definedName>
    <definedName name="fg_567">#REF!</definedName>
    <definedName name="FG_ISC123">#REF!</definedName>
    <definedName name="FG_ISC567">#REF!</definedName>
    <definedName name="fgfgfgf" hidden="1">#REF!</definedName>
    <definedName name="Fig.2.2.L">#REF!,#REF!,#REF!,#REF!,#REF!,#REF!,#REF!,#REF!,#REF!,#REF!</definedName>
    <definedName name="fig13_panelc">#REF!</definedName>
    <definedName name="fig13_panelc2">#REF!</definedName>
    <definedName name="FIG2wp1">#REF!</definedName>
    <definedName name="final_emp_impact">#REF!</definedName>
    <definedName name="final_emp_impact_2">#REF!</definedName>
    <definedName name="FinancingMethod">#REF!</definedName>
    <definedName name="Finland_5B">#REF!</definedName>
    <definedName name="finmonth1">#REF!</definedName>
    <definedName name="fiscal_data_raw">#REF!</definedName>
    <definedName name="fiscalpack">#REF!</definedName>
    <definedName name="FOOTER">#REF!</definedName>
    <definedName name="France_5B">#REF!</definedName>
    <definedName name="fyb">#REF!</definedName>
    <definedName name="GASASCII">#REF!</definedName>
    <definedName name="GDP_impact">#REF!</definedName>
    <definedName name="Germany_5B">#REF!</definedName>
    <definedName name="ghfgf" hidden="1">#REF!</definedName>
    <definedName name="gjgfgk" hidden="1">#REF!</definedName>
    <definedName name="graph3">#REF!</definedName>
    <definedName name="GraphB">#REF!</definedName>
    <definedName name="Heatmap">"Heatmap"</definedName>
    <definedName name="help" hidden="1">#REF!</definedName>
    <definedName name="hh">#REF!</definedName>
    <definedName name="Histogram">"Histogram"</definedName>
    <definedName name="hjjh" hidden="1">#REF!</definedName>
    <definedName name="html_11">{"'Inversión Extranjera'!$A$1:$AG$74","'Inversión Extranjera'!$G$7:$AF$61"}</definedName>
    <definedName name="html_11_1">{"'Inversión Extranjera'!$A$1:$AG$74","'Inversión Extranjera'!$G$7:$AF$61"}</definedName>
    <definedName name="HTML_CodePage">1252</definedName>
    <definedName name="HTML_Control">{"'Inversión Extranjera'!$A$1:$AG$74","'Inversión Extranjera'!$G$7:$AF$61"}</definedName>
    <definedName name="HTML_Control_1">{"'Inversión Extranjera'!$A$1:$AG$74","'Inversión Extranjera'!$G$7:$AF$61"}</definedName>
    <definedName name="HTML_Control_1_1">{"'Inversión Extranjera'!$A$1:$AG$74","'Inversión Extranjera'!$G$7:$AF$61"}</definedName>
    <definedName name="HTML_Control_1_1_1">{"'Inversión Extranjera'!$A$1:$AG$74","'Inversión Extranjera'!$G$7:$AF$61"}</definedName>
    <definedName name="HTML_Control_1_1_1_1">{"'Inversión Extranjera'!$A$1:$AG$74","'Inversión Extranjera'!$G$7:$AF$61"}</definedName>
    <definedName name="HTML_Control_1_1_2">{"'Inversión Extranjera'!$A$1:$AG$74","'Inversión Extranjera'!$G$7:$AF$61"}</definedName>
    <definedName name="HTML_Control_1_2">{"'Inversión Extranjera'!$A$1:$AG$74","'Inversión Extranjera'!$G$7:$AF$61"}</definedName>
    <definedName name="HTML_Control_1_2_1">{"'Inversión Extranjera'!$A$1:$AG$74","'Inversión Extranjera'!$G$7:$AF$61"}</definedName>
    <definedName name="HTML_Control_1_3">{"'Inversión Extranjera'!$A$1:$AG$74","'Inversión Extranjera'!$G$7:$AF$61"}</definedName>
    <definedName name="HTML_Control_2">{"'Inversión Extranjera'!$A$1:$AG$74","'Inversión Extranjera'!$G$7:$AF$61"}</definedName>
    <definedName name="HTML_Control_2_1">{"'Inversión Extranjera'!$A$1:$AG$74","'Inversión Extranjera'!$G$7:$AF$61"}</definedName>
    <definedName name="HTML_Control_3">{"'Inversión Extranjera'!$A$1:$AG$74","'Inversión Extranjera'!$G$7:$AF$61"}</definedName>
    <definedName name="HTML_Description">""</definedName>
    <definedName name="HTML_Email">""</definedName>
    <definedName name="HTML_Header">"Inversión Extranjera"</definedName>
    <definedName name="HTML_LastUpdate">"02-02-2000"</definedName>
    <definedName name="HTML_LineAfter">TRUE</definedName>
    <definedName name="HTML_LineBefore">TRUE</definedName>
    <definedName name="HTML_Name">"Carlos Arriagada"</definedName>
    <definedName name="HTML_OBDlg2">TRUE</definedName>
    <definedName name="HTML_OBDlg4">TRUE</definedName>
    <definedName name="HTML_OS">0</definedName>
    <definedName name="HTML_PathFile">"C:\Mis documentos\HTML.htm"</definedName>
    <definedName name="HTML_Title">"Inversión extranjera2"</definedName>
    <definedName name="Hungary_5B">#REF!</definedName>
    <definedName name="Iceland_5B">#REF!</definedName>
    <definedName name="IDD_current_prices_2014_wave6">#REF!</definedName>
    <definedName name="Index">#REF!</definedName>
    <definedName name="INDF1">#REF!</definedName>
    <definedName name="indf11">#REF!</definedName>
    <definedName name="indf11_94">#REF!</definedName>
    <definedName name="INDF12">#REF!</definedName>
    <definedName name="INDF13">#REF!</definedName>
    <definedName name="Indicator_Aviation">OFFSET(#REF!,1,(#REF!-1)*2+1,ROW(#REF!)-ROW(#REF!),1)</definedName>
    <definedName name="Indicator_aviation_yoy">OFFSET(#REF!,1,#REF!*2,ROW(#REF!)-ROW(#REF!),1)</definedName>
    <definedName name="Indicator_ship">OFFSET(#REF!,1,#REF!,#REF!,1)</definedName>
    <definedName name="Indicator_ship_Time">OFFSET(#REF!,1,0,#REF!,1)</definedName>
    <definedName name="Indicator_time1">OFFSET(#REF!,1,0,ROW(#REF!)-ROW(#REF!),1)</definedName>
    <definedName name="indust">#REF!</definedName>
    <definedName name="INIT">#REF!</definedName>
    <definedName name="i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_5B">#REF!</definedName>
    <definedName name="iRepType">1</definedName>
    <definedName name="IsInitialization">0</definedName>
    <definedName name="IssuePrice">#REF!</definedName>
    <definedName name="Italy_5B">#REF!</definedName>
    <definedName name="Japan_5B">#REF!</definedName>
    <definedName name="jhhhg" hidden="1">#REF!</definedName>
    <definedName name="jj" hidden="1">#REF!</definedName>
    <definedName name="kklkl">#REF!</definedName>
    <definedName name="Korea_5B">#REF!</definedName>
    <definedName name="KrnlXYdata">"$C$9:$D$265"</definedName>
    <definedName name="LastEndYear">2018</definedName>
    <definedName name="LastEstiDate">43642</definedName>
    <definedName name="LastEstNum">5</definedName>
    <definedName name="LastHasNew">"是"</definedName>
    <definedName name="LastHisYear_FinAnaly">#REF!</definedName>
    <definedName name="lastpoint">#REF!</definedName>
    <definedName name="LastRefreshed">#REF!</definedName>
    <definedName name="LastReportList">"2014;2015;2016;2017;2018"</definedName>
    <definedName name="LastStYear">2014</definedName>
    <definedName name="LastTransitionYear">0</definedName>
    <definedName name="LastWindCode">"002821.SZ"</definedName>
    <definedName name="LDebtFinancing">#REF!</definedName>
    <definedName name="LEAP">#REF!</definedName>
    <definedName name="LevelsUS">#REF!</definedName>
    <definedName name="Linking_1">#REF!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2">#REF!</definedName>
    <definedName name="Linking_3">#REF!</definedName>
    <definedName name="Linking_4">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inking_ex1final">#REF!</definedName>
    <definedName name="List_Countries">#REF!</definedName>
    <definedName name="LongBorrowRate">#REF!</definedName>
    <definedName name="look_cd3">#REF!</definedName>
    <definedName name="look_epl1b">#REF!</definedName>
    <definedName name="look_epl2a1">#REF!</definedName>
    <definedName name="look_epl2a2">#REF!</definedName>
    <definedName name="look_epl2a3">#REF!</definedName>
    <definedName name="look_epl2b1">#REF!</definedName>
    <definedName name="look_epl2b2">#REF!</definedName>
    <definedName name="look_epl2b3">#REF!</definedName>
    <definedName name="look_epl3b">#REF!</definedName>
    <definedName name="look_epl3c">#REF!</definedName>
    <definedName name="look_epl3e">#REF!</definedName>
    <definedName name="look_ft2">#REF!</definedName>
    <definedName name="look_ft3">#REF!</definedName>
    <definedName name="look_twa3">#REF!</definedName>
    <definedName name="mal">#REF!</definedName>
    <definedName name="Map">"Map"</definedName>
    <definedName name="MAverage">#REF!</definedName>
    <definedName name="mb_data">#REF!</definedName>
    <definedName name="median">#REF!</definedName>
    <definedName name="Men">#REF!</definedName>
    <definedName name="Mexico_5B">#REF!</definedName>
    <definedName name="MinCashBalance">#REF!</definedName>
    <definedName name="monthly">#REF!</definedName>
    <definedName name="monthly2">#REF!</definedName>
    <definedName name="monthlyCAN5">#REF!</definedName>
    <definedName name="monthlyGBR">#REF!</definedName>
    <definedName name="monthlyita">#REF!</definedName>
    <definedName name="monthlyJPN">#REF!</definedName>
    <definedName name="monthlyjpn1">#REF!</definedName>
    <definedName name="monthlyjpn2">#REF!</definedName>
    <definedName name="monthlyjpn4">#REF!</definedName>
    <definedName name="monthlyjpn5">#REF!</definedName>
    <definedName name="monthlykor">#REF!</definedName>
    <definedName name="monthlylux">#REF!</definedName>
    <definedName name="monthlyprt">#REF!</definedName>
    <definedName name="monthlysvk">#REF!</definedName>
    <definedName name="monthlySWE">#REF!</definedName>
    <definedName name="monthlyuk">#REF!</definedName>
    <definedName name="monthlyusa">#REF!</definedName>
    <definedName name="months">#REF!</definedName>
    <definedName name="months_ext">#REF!</definedName>
    <definedName name="multipliers">#REF!</definedName>
    <definedName name="MyCountry">#REF!</definedName>
    <definedName name="myCurrentRegion">#REF!</definedName>
    <definedName name="myCurrentRegionSource">#REF!</definedName>
    <definedName name="MyYear_01jan">#REF!</definedName>
    <definedName name="MyYear_31dec">#REF!</definedName>
    <definedName name="Myyear_31dec_lag1">#REF!</definedName>
    <definedName name="NAHN房价指数和成屋销售折年数" hidden="1">#REF!</definedName>
    <definedName name="Netherlands_5B">#REF!</definedName>
    <definedName name="New_Zealand_5B">#REF!</definedName>
    <definedName name="NEWROW1">#REF!</definedName>
    <definedName name="NEWROW3">#REF!</definedName>
    <definedName name="NFBS79X89">#REF!</definedName>
    <definedName name="NFBS79X89T">#REF!</definedName>
    <definedName name="NFBS90X97">#REF!</definedName>
    <definedName name="NFBS90X97T">#REF!</definedName>
    <definedName name="NONLEAP">#REF!</definedName>
    <definedName name="Norway_5B">#REF!</definedName>
    <definedName name="OECD.average">#REF!</definedName>
    <definedName name="OHLC">"OHLC"</definedName>
    <definedName name="p">#REF!</definedName>
    <definedName name="p5_age">#REF!</definedName>
    <definedName name="p5nr">#REF!</definedName>
    <definedName name="PAGE1">#REF!</definedName>
    <definedName name="PAGE1_TO_DOS">#REF!</definedName>
    <definedName name="PeriodGrowth">#REF!</definedName>
    <definedName name="PieChart">"PieChart"</definedName>
    <definedName name="PMIdata">OFFSET(#REF!,1,IF(#REF!=1,#REF!,IF(#REF!=2,12+#REF!,26+#REF!)),IF(#REF!=4,54,#REF!*12),1)</definedName>
    <definedName name="PMIname">OFFSET(#REF!,#REF!,#REF!-1,1,1)</definedName>
    <definedName name="PMItime">OFFSET(#REF!,1,0,IF(#REF!=4,54,#REF!*12),1)</definedName>
    <definedName name="PMI控件">OFFSET(#REF!,1,#REF!-1,COUNTA(OFFSET(#REF!,0,#REF!-1,20,1)),1)</definedName>
    <definedName name="Poland_5B">#REF!</definedName>
    <definedName name="POpula">#REF!</definedName>
    <definedName name="popula1">#REF!</definedName>
    <definedName name="population">#REF!</definedName>
    <definedName name="Portugal_5B">#REF!</definedName>
    <definedName name="Price_Change">OFFSET(#REF!,1,(#REF!-1)*2,7,1)</definedName>
    <definedName name="Price_Change2">OFFSET(#REF!,1,(#REF!-1)*2,#REF!+1,1)</definedName>
    <definedName name="Price_Name2">OFFSET(#REF!,1,0,#REF!+1,1)</definedName>
    <definedName name="_xlnm.Print_Area">#REF!</definedName>
    <definedName name="Print_Area_MI">#REF!</definedName>
    <definedName name="Print_Areaaaa">#REF!</definedName>
    <definedName name="Print1">#REF!</definedName>
    <definedName name="PubPCEBridgeSum2002">#REF!</definedName>
    <definedName name="PubPCEBridgeSum2003">#REF!</definedName>
    <definedName name="PubPCEBridgeSum2004">#REF!</definedName>
    <definedName name="PubPESBridgeSum2002">#REF!</definedName>
    <definedName name="PubPESBridgeSum2003">#REF!</definedName>
    <definedName name="PubPESBridgeSum2004">#REF!</definedName>
    <definedName name="qqq" hidden="1">#REF!</definedName>
    <definedName name="qwe" hidden="1">#REF!</definedName>
    <definedName name="RepType">#REF!</definedName>
    <definedName name="RoundFactorLong">5</definedName>
    <definedName name="RoundFactorMed">3</definedName>
    <definedName name="RoundFactorShort">5</definedName>
    <definedName name="ROWCELL2">#REF!</definedName>
    <definedName name="ROWCELL3">#REF!</definedName>
    <definedName name="rrrrrrr">#REF!</definedName>
    <definedName name="rt">#REF!</definedName>
    <definedName name="ry">#REF!</definedName>
    <definedName name="S">OFFSET(#REF!,0,0,COUNTA(#REF!)-1)</definedName>
    <definedName name="sam">#REF!</definedName>
    <definedName name="Scatter">"Scatter"</definedName>
    <definedName name="sdakjkjsad" hidden="1">#REF!</definedName>
    <definedName name="Series">"Series"</definedName>
    <definedName name="ShortBorrowRate">#REF!</definedName>
    <definedName name="Slovakia_5B">#REF!</definedName>
    <definedName name="SmallestNonZeroValue">0.00001</definedName>
    <definedName name="Spain_5B">#REF!</definedName>
    <definedName name="SPSS">#REF!</definedName>
    <definedName name="ss">#REF!</definedName>
    <definedName name="sss">#REF!</definedName>
    <definedName name="Start1">#REF!</definedName>
    <definedName name="Start3">#REF!</definedName>
    <definedName name="StockCode">#REF!</definedName>
    <definedName name="Stripe">"Stripe"</definedName>
    <definedName name="STRIPS">#REF!</definedName>
    <definedName name="STRIPS_TO_DOS">#REF!</definedName>
    <definedName name="STRIPS_TO_WK4">#REF!</definedName>
    <definedName name="summary">#REF!</definedName>
    <definedName name="SumTolerance">0.005</definedName>
    <definedName name="Sweden_5B">#REF!</definedName>
    <definedName name="Switzerland_5B">#REF!</definedName>
    <definedName name="T">OFFSET(#REF!,0,0,COUNTA(#REF!)-1)</definedName>
    <definedName name="Table">"Table"</definedName>
    <definedName name="table_EAG_TerEdu">#REF!</definedName>
    <definedName name="table_ETR_1564">#REF!</definedName>
    <definedName name="table_ETR_1564_date">#REF!</definedName>
    <definedName name="table_ETR_1564_females">#REF!</definedName>
    <definedName name="table_ETR_1564_females_date">#REF!</definedName>
    <definedName name="table_ETR_1564_males">#REF!</definedName>
    <definedName name="table_ETR_1564_males_date">#REF!</definedName>
    <definedName name="table_ggflq">#REF!</definedName>
    <definedName name="table_ggflq_date">#REF!</definedName>
    <definedName name="table_gnflq">#REF!</definedName>
    <definedName name="table_gnflq_date">#REF!</definedName>
    <definedName name="table_HousInc">#REF!</definedName>
    <definedName name="table_hrs">#REF!</definedName>
    <definedName name="table_hrs_date">#REF!</definedName>
    <definedName name="table_LTUNR">#REF!</definedName>
    <definedName name="table_LTUNR_date">#REF!</definedName>
    <definedName name="table_pisa2009">#REF!</definedName>
    <definedName name="table_pisa2009_category">#REF!</definedName>
    <definedName name="table_UNR">#REF!</definedName>
    <definedName name="Table_UNR_date">#REF!</definedName>
    <definedName name="table_unr1524">#REF!</definedName>
    <definedName name="table_unr1524_date">#REF!</definedName>
    <definedName name="table_vaind_summary">#REF!</definedName>
    <definedName name="table_vaind_summary_categories">#REF!</definedName>
    <definedName name="table_ypgtq">#REF!</definedName>
    <definedName name="Table_ypgtq_date">#REF!</definedName>
    <definedName name="table_yrgtq">#REF!</definedName>
    <definedName name="table_Yrgtq_date">#REF!</definedName>
    <definedName name="table1a11">#REF!</definedName>
    <definedName name="TableName">"Dummy"</definedName>
    <definedName name="tabx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1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est_rank">#REF!,#REF!</definedName>
    <definedName name="ThisEndYear">2018</definedName>
    <definedName name="ThisEstiDate">43642</definedName>
    <definedName name="ThisEstNum">5</definedName>
    <definedName name="ThisHasNew">"是"</definedName>
    <definedName name="ThisReportList">"2014;2015;2016;2017;2018"</definedName>
    <definedName name="ThisStYear">2014</definedName>
    <definedName name="ThisTransitionYear">0</definedName>
    <definedName name="ThisWindCode">"002821.SZ"</definedName>
    <definedName name="TOTALROW1">#REF!</definedName>
    <definedName name="TOTALROW3">#REF!</definedName>
    <definedName name="TOTALS_MSPD2A">#REF!</definedName>
    <definedName name="toto">#REF!</definedName>
    <definedName name="toto1">#REF!</definedName>
    <definedName name="Tradelib">#REF!</definedName>
    <definedName name="Tradelib4">#REF!</definedName>
    <definedName name="TreeMap">"TreeMap"</definedName>
    <definedName name="TRNR_b7b26066809545bd8aa904385050e245_376_1" hidden="1">#REF!</definedName>
    <definedName name="TRNR_b9d8585d81d347bd9166586088838e09_527_64" hidden="1">#REF!</definedName>
    <definedName name="TRNR_fbd7d69106264deead3114ee2f4db855_3695_1" hidden="1">#REF!</definedName>
    <definedName name="TRNR_ffe78fb541714e3cbf31dd77f88c3f7c_2914_1" hidden="1">#REF!</definedName>
    <definedName name="tttt">#REF!</definedName>
    <definedName name="Turkey_5B">#REF!</definedName>
    <definedName name="uniqp12">#REF!</definedName>
    <definedName name="UniqueRange_0">#REF!</definedName>
    <definedName name="UniqueRange_1">#REF!</definedName>
    <definedName name="UniqueRange_10">#REF!</definedName>
    <definedName name="UniqueRange_100">#REF!</definedName>
    <definedName name="UniqueRange_101">#REF!</definedName>
    <definedName name="UniqueRange_102">#REF!</definedName>
    <definedName name="UniqueRange_103">#REF!</definedName>
    <definedName name="UniqueRange_104">#REF!</definedName>
    <definedName name="UniqueRange_105">#REF!</definedName>
    <definedName name="UniqueRange_106">#REF!</definedName>
    <definedName name="UniqueRange_107">#REF!</definedName>
    <definedName name="UniqueRange_108">#REF!</definedName>
    <definedName name="UniqueRange_109">#REF!</definedName>
    <definedName name="UniqueRange_11">#REF!</definedName>
    <definedName name="UniqueRange_110">#REF!</definedName>
    <definedName name="UniqueRange_111">#REF!</definedName>
    <definedName name="UniqueRange_112">#REF!</definedName>
    <definedName name="UniqueRange_113">#REF!</definedName>
    <definedName name="UniqueRange_114">#REF!</definedName>
    <definedName name="UniqueRange_115">#REF!</definedName>
    <definedName name="UniqueRange_116">#REF!</definedName>
    <definedName name="UniqueRange_117">#REF!</definedName>
    <definedName name="UniqueRange_118">#REF!</definedName>
    <definedName name="UniqueRange_119">#REF!</definedName>
    <definedName name="UniqueRange_12">#REF!</definedName>
    <definedName name="UniqueRange_120">#REF!</definedName>
    <definedName name="UniqueRange_121">#REF!</definedName>
    <definedName name="UniqueRange_122">#REF!</definedName>
    <definedName name="UniqueRange_123">#REF!</definedName>
    <definedName name="UniqueRange_124">#REF!</definedName>
    <definedName name="UniqueRange_125">#REF!</definedName>
    <definedName name="UniqueRange_126">#REF!</definedName>
    <definedName name="UniqueRange_127">#REF!</definedName>
    <definedName name="UniqueRange_128">#REF!</definedName>
    <definedName name="UniqueRange_129">#REF!</definedName>
    <definedName name="UniqueRange_13">#REF!</definedName>
    <definedName name="UniqueRange_130">#REF!</definedName>
    <definedName name="UniqueRange_131">#REF!</definedName>
    <definedName name="UniqueRange_132">#REF!</definedName>
    <definedName name="UniqueRange_133">#REF!</definedName>
    <definedName name="UniqueRange_134">#REF!</definedName>
    <definedName name="UniqueRange_135">#REF!</definedName>
    <definedName name="UniqueRange_136">#REF!</definedName>
    <definedName name="UniqueRange_137">#REF!</definedName>
    <definedName name="UniqueRange_138">#REF!</definedName>
    <definedName name="UniqueRange_139">#REF!</definedName>
    <definedName name="UniqueRange_14">#REF!</definedName>
    <definedName name="UniqueRange_140">#REF!</definedName>
    <definedName name="UniqueRange_141">#REF!</definedName>
    <definedName name="UniqueRange_142">#REF!</definedName>
    <definedName name="UniqueRange_143">#REF!</definedName>
    <definedName name="UniqueRange_144">#REF!</definedName>
    <definedName name="UniqueRange_145">#REF!</definedName>
    <definedName name="UniqueRange_146">#REF!</definedName>
    <definedName name="UniqueRange_147">#REF!</definedName>
    <definedName name="UniqueRange_148">#REF!</definedName>
    <definedName name="UniqueRange_149">#REF!</definedName>
    <definedName name="UniqueRange_15">#REF!</definedName>
    <definedName name="UniqueRange_150">#REF!</definedName>
    <definedName name="UniqueRange_151">#REF!</definedName>
    <definedName name="UniqueRange_152">#REF!</definedName>
    <definedName name="UniqueRange_153">#REF!</definedName>
    <definedName name="UniqueRange_154">#REF!</definedName>
    <definedName name="UniqueRange_155">#REF!</definedName>
    <definedName name="UniqueRange_156">#REF!</definedName>
    <definedName name="UniqueRange_157">#REF!</definedName>
    <definedName name="UniqueRange_158">#REF!</definedName>
    <definedName name="UniqueRange_159">#REF!</definedName>
    <definedName name="UniqueRange_16">#REF!</definedName>
    <definedName name="UniqueRange_160">#REF!</definedName>
    <definedName name="UniqueRange_161">#REF!</definedName>
    <definedName name="UniqueRange_162">#REF!</definedName>
    <definedName name="UniqueRange_163">#REF!</definedName>
    <definedName name="UniqueRange_164">#REF!</definedName>
    <definedName name="UniqueRange_168">#REF!</definedName>
    <definedName name="UniqueRange_17">#REF!</definedName>
    <definedName name="UniqueRange_177">#REF!</definedName>
    <definedName name="UniqueRange_18">#REF!</definedName>
    <definedName name="UniqueRange_189">#REF!</definedName>
    <definedName name="UniqueRange_19">#REF!</definedName>
    <definedName name="UniqueRange_192">#REF!</definedName>
    <definedName name="UniqueRange_2">#REF!</definedName>
    <definedName name="UniqueRange_20">#REF!</definedName>
    <definedName name="UniqueRange_201">#REF!</definedName>
    <definedName name="UniqueRange_208">#REF!</definedName>
    <definedName name="UniqueRange_21">#REF!</definedName>
    <definedName name="UniqueRange_210">#REF!</definedName>
    <definedName name="UniqueRange_2162">#REF!</definedName>
    <definedName name="UniqueRange_2163">#REF!</definedName>
    <definedName name="UniqueRange_2164">#REF!</definedName>
    <definedName name="UniqueRange_2165">#REF!</definedName>
    <definedName name="UniqueRange_2166">#REF!</definedName>
    <definedName name="UniqueRange_2167">#REF!</definedName>
    <definedName name="UniqueRange_2168">#REF!</definedName>
    <definedName name="UniqueRange_2169">#REF!</definedName>
    <definedName name="UniqueRange_217">#REF!</definedName>
    <definedName name="UniqueRange_2170">#REF!</definedName>
    <definedName name="UniqueRange_2171">#REF!</definedName>
    <definedName name="UniqueRange_2172">#REF!</definedName>
    <definedName name="UniqueRange_2173">#REF!</definedName>
    <definedName name="UniqueRange_2174">#REF!</definedName>
    <definedName name="UniqueRange_2175">#REF!</definedName>
    <definedName name="UniqueRange_2176">#REF!</definedName>
    <definedName name="UniqueRange_2177">#REF!</definedName>
    <definedName name="UniqueRange_2178">#REF!</definedName>
    <definedName name="UniqueRange_2179">#REF!</definedName>
    <definedName name="UniqueRange_2180">#REF!</definedName>
    <definedName name="UniqueRange_2181">#REF!</definedName>
    <definedName name="UniqueRange_2182">#REF!</definedName>
    <definedName name="UniqueRange_2183">#REF!</definedName>
    <definedName name="UniqueRange_2184">#REF!</definedName>
    <definedName name="UniqueRange_2185">#REF!</definedName>
    <definedName name="UniqueRange_2186">#REF!</definedName>
    <definedName name="UniqueRange_2187">#REF!</definedName>
    <definedName name="UniqueRange_2188">#REF!</definedName>
    <definedName name="UniqueRange_2189">#REF!</definedName>
    <definedName name="UniqueRange_2190">#REF!</definedName>
    <definedName name="UniqueRange_2191">#REF!</definedName>
    <definedName name="UniqueRange_2192">#REF!</definedName>
    <definedName name="UniqueRange_2193">#REF!</definedName>
    <definedName name="UniqueRange_2194">#REF!</definedName>
    <definedName name="UniqueRange_2195">#REF!</definedName>
    <definedName name="UniqueRange_2196">#REF!</definedName>
    <definedName name="UniqueRange_22">#REF!</definedName>
    <definedName name="UniqueRange_226">#REF!</definedName>
    <definedName name="UniqueRange_23">#REF!</definedName>
    <definedName name="UniqueRange_24">#REF!</definedName>
    <definedName name="UniqueRange_246">#REF!</definedName>
    <definedName name="UniqueRange_249">#REF!</definedName>
    <definedName name="UniqueRange_25">#REF!</definedName>
    <definedName name="UniqueRange_256">#REF!</definedName>
    <definedName name="UniqueRange_26">#REF!</definedName>
    <definedName name="UniqueRange_260">#REF!</definedName>
    <definedName name="UniqueRange_265">#REF!</definedName>
    <definedName name="UniqueRange_268">#REF!</definedName>
    <definedName name="UniqueRange_269">#REF!</definedName>
    <definedName name="UniqueRange_27">#REF!</definedName>
    <definedName name="UniqueRange_270">#REF!</definedName>
    <definedName name="UniqueRange_271">#REF!</definedName>
    <definedName name="UniqueRange_272">#REF!</definedName>
    <definedName name="UniqueRange_273">#REF!</definedName>
    <definedName name="UniqueRange_274">#REF!</definedName>
    <definedName name="UniqueRange_275">#REF!</definedName>
    <definedName name="UniqueRange_276">#REF!</definedName>
    <definedName name="UniqueRange_277">#REF!</definedName>
    <definedName name="UniqueRange_278">#REF!</definedName>
    <definedName name="UniqueRange_279">#REF!</definedName>
    <definedName name="UniqueRange_28">#REF!</definedName>
    <definedName name="UniqueRange_280">#REF!</definedName>
    <definedName name="UniqueRange_281">#REF!</definedName>
    <definedName name="UniqueRange_282">#REF!</definedName>
    <definedName name="UniqueRange_29">#REF!</definedName>
    <definedName name="UniqueRange_291">#REF!</definedName>
    <definedName name="UniqueRange_297">#REF!</definedName>
    <definedName name="UniqueRange_299">#REF!</definedName>
    <definedName name="UniqueRange_3">#REF!</definedName>
    <definedName name="UniqueRange_30">#REF!</definedName>
    <definedName name="UniqueRange_300">#REF!</definedName>
    <definedName name="UniqueRange_301">#REF!</definedName>
    <definedName name="UniqueRange_302">#REF!</definedName>
    <definedName name="UniqueRange_303">#REF!</definedName>
    <definedName name="UniqueRange_304">#REF!</definedName>
    <definedName name="UniqueRange_305">#REF!</definedName>
    <definedName name="UniqueRange_306">#REF!</definedName>
    <definedName name="UniqueRange_31">#REF!</definedName>
    <definedName name="UniqueRange_313">#REF!</definedName>
    <definedName name="UniqueRange_32">#REF!</definedName>
    <definedName name="UniqueRange_325">#REF!</definedName>
    <definedName name="UniqueRange_326">#REF!</definedName>
    <definedName name="UniqueRange_327">#REF!</definedName>
    <definedName name="UniqueRange_328">#REF!</definedName>
    <definedName name="UniqueRange_329">#REF!</definedName>
    <definedName name="UniqueRange_33">#REF!</definedName>
    <definedName name="UniqueRange_330">#REF!</definedName>
    <definedName name="UniqueRange_333">#REF!</definedName>
    <definedName name="UniqueRange_34">#REF!</definedName>
    <definedName name="UniqueRange_342">#REF!</definedName>
    <definedName name="UniqueRange_35">#REF!</definedName>
    <definedName name="UniqueRange_358">#REF!</definedName>
    <definedName name="UniqueRange_36">#REF!</definedName>
    <definedName name="UniqueRange_367">#REF!</definedName>
    <definedName name="UniqueRange_37">#REF!</definedName>
    <definedName name="UniqueRange_374">#REF!</definedName>
    <definedName name="UniqueRange_376">#REF!</definedName>
    <definedName name="UniqueRange_38">#REF!</definedName>
    <definedName name="UniqueRange_383">#REF!</definedName>
    <definedName name="UniqueRange_39">#REF!</definedName>
    <definedName name="UniqueRange_392">#REF!</definedName>
    <definedName name="UniqueRange_4">#REF!</definedName>
    <definedName name="UniqueRange_40">#REF!</definedName>
    <definedName name="UniqueRange_408">#REF!</definedName>
    <definedName name="UniqueRange_41">#REF!</definedName>
    <definedName name="UniqueRange_417">#REF!</definedName>
    <definedName name="UniqueRange_42">#REF!</definedName>
    <definedName name="UniqueRange_43">#REF!</definedName>
    <definedName name="UniqueRange_432">#REF!</definedName>
    <definedName name="UniqueRange_44">#REF!</definedName>
    <definedName name="UniqueRange_441">#REF!</definedName>
    <definedName name="UniqueRange_45">#REF!</definedName>
    <definedName name="UniqueRange_453">#REF!</definedName>
    <definedName name="UniqueRange_456">#REF!</definedName>
    <definedName name="UniqueRange_457">#REF!</definedName>
    <definedName name="UniqueRange_46">#REF!</definedName>
    <definedName name="UniqueRange_47">#REF!</definedName>
    <definedName name="UniqueRange_472">#REF!</definedName>
    <definedName name="UniqueRange_473">#REF!</definedName>
    <definedName name="UniqueRange_474">#REF!</definedName>
    <definedName name="UniqueRange_475">#REF!</definedName>
    <definedName name="UniqueRange_48">#REF!</definedName>
    <definedName name="UniqueRange_481">#REF!</definedName>
    <definedName name="UniqueRange_484">#REF!</definedName>
    <definedName name="UniqueRange_49">#REF!</definedName>
    <definedName name="UniqueRange_490">#REF!</definedName>
    <definedName name="UniqueRange_491">#REF!</definedName>
    <definedName name="UniqueRange_495">#REF!</definedName>
    <definedName name="UniqueRange_5">#REF!</definedName>
    <definedName name="UniqueRange_50">#REF!</definedName>
    <definedName name="UniqueRange_500">#REF!</definedName>
    <definedName name="UniqueRange_501">#REF!</definedName>
    <definedName name="UniqueRange_502">#REF!</definedName>
    <definedName name="UniqueRange_504">#REF!</definedName>
    <definedName name="UniqueRange_506">#REF!</definedName>
    <definedName name="UniqueRange_507">#REF!</definedName>
    <definedName name="UniqueRange_508">#REF!</definedName>
    <definedName name="UniqueRange_509">#REF!</definedName>
    <definedName name="UniqueRange_51">#REF!</definedName>
    <definedName name="UniqueRange_510">#REF!</definedName>
    <definedName name="UniqueRange_511">#REF!</definedName>
    <definedName name="UniqueRange_514">#REF!</definedName>
    <definedName name="UniqueRange_515">#REF!</definedName>
    <definedName name="UniqueRange_516">#REF!</definedName>
    <definedName name="UniqueRange_517">#REF!</definedName>
    <definedName name="UniqueRange_518">#REF!</definedName>
    <definedName name="UniqueRange_52">#REF!</definedName>
    <definedName name="UniqueRange_523">#REF!</definedName>
    <definedName name="UniqueRange_524">#REF!</definedName>
    <definedName name="UniqueRange_525">#REF!</definedName>
    <definedName name="UniqueRange_526">#REF!</definedName>
    <definedName name="UniqueRange_527">#REF!</definedName>
    <definedName name="UniqueRange_528">#REF!</definedName>
    <definedName name="UniqueRange_529">#REF!</definedName>
    <definedName name="UniqueRange_53">#REF!</definedName>
    <definedName name="UniqueRange_530">#REF!</definedName>
    <definedName name="UniqueRange_531">#REF!</definedName>
    <definedName name="UniqueRange_532">#REF!</definedName>
    <definedName name="UniqueRange_533">#REF!</definedName>
    <definedName name="UniqueRange_54">#REF!</definedName>
    <definedName name="UniqueRange_55">#REF!</definedName>
    <definedName name="UniqueRange_551">#REF!</definedName>
    <definedName name="UniqueRange_555">#REF!</definedName>
    <definedName name="UniqueRange_559">#REF!</definedName>
    <definedName name="UniqueRange_56">#REF!</definedName>
    <definedName name="UniqueRange_564">#REF!</definedName>
    <definedName name="UniqueRange_568">#REF!</definedName>
    <definedName name="UniqueRange_57">#REF!</definedName>
    <definedName name="UniqueRange_574">#REF!</definedName>
    <definedName name="UniqueRange_575">#REF!</definedName>
    <definedName name="UniqueRange_576">#REF!</definedName>
    <definedName name="UniqueRange_579">#REF!</definedName>
    <definedName name="UniqueRange_58">#REF!</definedName>
    <definedName name="UniqueRange_582">#REF!</definedName>
    <definedName name="UniqueRange_586">#REF!</definedName>
    <definedName name="UniqueRange_589">#REF!</definedName>
    <definedName name="UniqueRange_59">#REF!</definedName>
    <definedName name="UniqueRange_591">#REF!</definedName>
    <definedName name="UniqueRange_595">#REF!</definedName>
    <definedName name="UniqueRange_6">#REF!</definedName>
    <definedName name="UniqueRange_60">#REF!</definedName>
    <definedName name="UniqueRange_601">#REF!</definedName>
    <definedName name="UniqueRange_604">#REF!</definedName>
    <definedName name="UniqueRange_605">#REF!</definedName>
    <definedName name="UniqueRange_606">#REF!</definedName>
    <definedName name="UniqueRange_607">#REF!</definedName>
    <definedName name="UniqueRange_608">#REF!</definedName>
    <definedName name="UniqueRange_609">#REF!</definedName>
    <definedName name="UniqueRange_61">#REF!</definedName>
    <definedName name="UniqueRange_610">#REF!</definedName>
    <definedName name="UniqueRange_611">#REF!</definedName>
    <definedName name="UniqueRange_612">#REF!</definedName>
    <definedName name="UniqueRange_613">#REF!</definedName>
    <definedName name="UniqueRange_614">#REF!</definedName>
    <definedName name="UniqueRange_615">#REF!</definedName>
    <definedName name="UniqueRange_616">#REF!</definedName>
    <definedName name="UniqueRange_617">#REF!</definedName>
    <definedName name="UniqueRange_618">#REF!</definedName>
    <definedName name="UniqueRange_619">#REF!</definedName>
    <definedName name="UniqueRange_62">#REF!</definedName>
    <definedName name="UniqueRange_620">#REF!</definedName>
    <definedName name="UniqueRange_621">#REF!</definedName>
    <definedName name="UniqueRange_622">#REF!</definedName>
    <definedName name="UniqueRange_623">#REF!</definedName>
    <definedName name="UniqueRange_624">#REF!</definedName>
    <definedName name="UniqueRange_625">#REF!</definedName>
    <definedName name="UniqueRange_626">#REF!</definedName>
    <definedName name="UniqueRange_627">#REF!</definedName>
    <definedName name="UniqueRange_628">#REF!</definedName>
    <definedName name="UniqueRange_629">#REF!</definedName>
    <definedName name="UniqueRange_63">#REF!</definedName>
    <definedName name="UniqueRange_630">#REF!</definedName>
    <definedName name="UniqueRange_631">#REF!</definedName>
    <definedName name="UniqueRange_638">#REF!</definedName>
    <definedName name="UniqueRange_64">#REF!</definedName>
    <definedName name="UniqueRange_65">#REF!</definedName>
    <definedName name="UniqueRange_652">#REF!</definedName>
    <definedName name="UniqueRange_66">#REF!</definedName>
    <definedName name="UniqueRange_661">#REF!</definedName>
    <definedName name="UniqueRange_67">#REF!</definedName>
    <definedName name="UniqueRange_677">#REF!</definedName>
    <definedName name="UniqueRange_68">#REF!</definedName>
    <definedName name="UniqueRange_686">#REF!</definedName>
    <definedName name="UniqueRange_69">#REF!</definedName>
    <definedName name="UniqueRange_692">#REF!</definedName>
    <definedName name="UniqueRange_693">#REF!</definedName>
    <definedName name="UniqueRange_694">#REF!</definedName>
    <definedName name="UniqueRange_695">#REF!</definedName>
    <definedName name="UniqueRange_696">#REF!</definedName>
    <definedName name="UniqueRange_697">#REF!</definedName>
    <definedName name="UniqueRange_698">#REF!</definedName>
    <definedName name="UniqueRange_699">#REF!</definedName>
    <definedName name="UniqueRange_7">#REF!</definedName>
    <definedName name="UniqueRange_70">#REF!</definedName>
    <definedName name="UniqueRange_700">#REF!</definedName>
    <definedName name="UniqueRange_701">#REF!</definedName>
    <definedName name="UniqueRange_702">#REF!</definedName>
    <definedName name="UniqueRange_703">#REF!</definedName>
    <definedName name="UniqueRange_704">#REF!</definedName>
    <definedName name="UniqueRange_705">#REF!</definedName>
    <definedName name="UniqueRange_706">#REF!</definedName>
    <definedName name="UniqueRange_707">#REF!</definedName>
    <definedName name="UniqueRange_708">#REF!</definedName>
    <definedName name="UniqueRange_709">#REF!</definedName>
    <definedName name="UniqueRange_71">#REF!</definedName>
    <definedName name="UniqueRange_710">#REF!</definedName>
    <definedName name="UniqueRange_711">#REF!</definedName>
    <definedName name="UniqueRange_712">#REF!</definedName>
    <definedName name="UniqueRange_713">#REF!</definedName>
    <definedName name="UniqueRange_714">#REF!</definedName>
    <definedName name="UniqueRange_715">#REF!</definedName>
    <definedName name="UniqueRange_716">#REF!</definedName>
    <definedName name="UniqueRange_717">#REF!</definedName>
    <definedName name="UniqueRange_718">#REF!</definedName>
    <definedName name="UniqueRange_719">#REF!</definedName>
    <definedName name="UniqueRange_72">#REF!</definedName>
    <definedName name="UniqueRange_725">#REF!</definedName>
    <definedName name="UniqueRange_73">#REF!</definedName>
    <definedName name="UniqueRange_734">#REF!</definedName>
    <definedName name="UniqueRange_74">#REF!</definedName>
    <definedName name="UniqueRange_749">#REF!</definedName>
    <definedName name="UniqueRange_75">#REF!</definedName>
    <definedName name="UniqueRange_758">#REF!</definedName>
    <definedName name="UniqueRange_76">#REF!</definedName>
    <definedName name="UniqueRange_77">#REF!</definedName>
    <definedName name="UniqueRange_770">#REF!</definedName>
    <definedName name="UniqueRange_773">#REF!</definedName>
    <definedName name="UniqueRange_774">#REF!</definedName>
    <definedName name="UniqueRange_775">#REF!</definedName>
    <definedName name="UniqueRange_776">#REF!</definedName>
    <definedName name="UniqueRange_777">#REF!</definedName>
    <definedName name="UniqueRange_778">#REF!</definedName>
    <definedName name="UniqueRange_779">#REF!</definedName>
    <definedName name="UniqueRange_78">#REF!</definedName>
    <definedName name="UniqueRange_780">#REF!</definedName>
    <definedName name="UniqueRange_781">#REF!</definedName>
    <definedName name="UniqueRange_782">#REF!</definedName>
    <definedName name="UniqueRange_783">#REF!</definedName>
    <definedName name="UniqueRange_784">#REF!</definedName>
    <definedName name="UniqueRange_785">#REF!</definedName>
    <definedName name="UniqueRange_786">#REF!</definedName>
    <definedName name="UniqueRange_787">#REF!</definedName>
    <definedName name="UniqueRange_788">#REF!</definedName>
    <definedName name="UniqueRange_789">#REF!</definedName>
    <definedName name="UniqueRange_79">#REF!</definedName>
    <definedName name="UniqueRange_790">#REF!</definedName>
    <definedName name="UniqueRange_792">#REF!</definedName>
    <definedName name="UniqueRange_793">#REF!</definedName>
    <definedName name="UniqueRange_794">#REF!</definedName>
    <definedName name="UniqueRange_795">#REF!</definedName>
    <definedName name="UniqueRange_8">#REF!</definedName>
    <definedName name="UniqueRange_80">#REF!</definedName>
    <definedName name="UniqueRange_81">#REF!</definedName>
    <definedName name="UniqueRange_82">#REF!</definedName>
    <definedName name="UniqueRange_83">#REF!</definedName>
    <definedName name="UniqueRange_84">#REF!</definedName>
    <definedName name="UniqueRange_85">#REF!</definedName>
    <definedName name="UniqueRange_86">#REF!</definedName>
    <definedName name="UniqueRange_87">#REF!</definedName>
    <definedName name="UniqueRange_88">#REF!</definedName>
    <definedName name="UniqueRange_882">#REF!</definedName>
    <definedName name="UniqueRange_883">#REF!</definedName>
    <definedName name="UniqueRange_884">#REF!</definedName>
    <definedName name="UniqueRange_885">#REF!</definedName>
    <definedName name="UniqueRange_886">#REF!</definedName>
    <definedName name="UniqueRange_887">#REF!</definedName>
    <definedName name="UniqueRange_888">#REF!</definedName>
    <definedName name="UniqueRange_889">#REF!</definedName>
    <definedName name="UniqueRange_89">#REF!</definedName>
    <definedName name="UniqueRange_890">#REF!</definedName>
    <definedName name="UniqueRange_891">#REF!</definedName>
    <definedName name="UniqueRange_892">#REF!</definedName>
    <definedName name="UniqueRange_893">#REF!</definedName>
    <definedName name="UniqueRange_894">#REF!</definedName>
    <definedName name="UniqueRange_895">#REF!</definedName>
    <definedName name="UniqueRange_9">#REF!</definedName>
    <definedName name="UniqueRange_90">#REF!</definedName>
    <definedName name="UniqueRange_91">#REF!</definedName>
    <definedName name="UniqueRange_92">#REF!</definedName>
    <definedName name="UniqueRange_93">#REF!</definedName>
    <definedName name="UniqueRange_94">#REF!</definedName>
    <definedName name="UniqueRange_95">#REF!</definedName>
    <definedName name="UniqueRange_96">#REF!</definedName>
    <definedName name="UniqueRange_97">#REF!</definedName>
    <definedName name="UniqueRange_98">#REF!</definedName>
    <definedName name="UniqueRange_99">#REF!</definedName>
    <definedName name="unit">1000000</definedName>
    <definedName name="United_Kingdom_5B">#REF!</definedName>
    <definedName name="United_States_5B">#REF!</definedName>
    <definedName name="uu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Valuation_airport">OFFSET(#REF!,1,#REF!,#REF!,1)</definedName>
    <definedName name="Valuation_aviation">OFFSET(#REF!,1,#REF!,#REF!,1)</definedName>
    <definedName name="Valuation_Industry">CHOOSE(#REF!,#REF!,#REF!)</definedName>
    <definedName name="Valuation_logistics">OFFSET(#REF!,1,#REF!,#REF!,1)</definedName>
    <definedName name="Valuation_port">OFFSET(#REF!,1,#REF!,#REF!,1)</definedName>
    <definedName name="Valuation_railway">OFFSET(#REF!,1,#REF!,#REF!,1)</definedName>
    <definedName name="Valuation_road">OFFSET(#REF!,1,#REF!,#REF!,1)</definedName>
    <definedName name="Valuation_shipping">OFFSET(#REF!,1,#REF!,#REF!,1)</definedName>
    <definedName name="Valuation_time">OFFSET(#REF!,1,0,#REF!,1)</definedName>
    <definedName name="wacc">#REF!</definedName>
    <definedName name="Wage_inflation">#REF!</definedName>
    <definedName name="wageinflation">#REF!</definedName>
    <definedName name="Waterfall">"Waterfall"</definedName>
    <definedName name="weight">#REF!</definedName>
    <definedName name="Women">#REF!</definedName>
    <definedName name="wrn.eecdata.">{"view1",#N/A,FALSE,"EECDATA";"view2",#N/A,FALSE,"EECDATA"}</definedName>
    <definedName name="wrn.eecdata._1">{"view1",#N/A,FALSE,"EECDATA";"view2",#N/A,FALSE,"EECDATA"}</definedName>
    <definedName name="wrn.eecdata._1_1">{"view1",#N/A,FALSE,"EECDATA";"view2",#N/A,FALSE,"EECDATA"}</definedName>
    <definedName name="wrn.eecdata._1_1_1">{"view1",#N/A,FALSE,"EECDATA";"view2",#N/A,FALSE,"EECDATA"}</definedName>
    <definedName name="wrn.eecdata._1_1_1_1">{"view1",#N/A,FALSE,"EECDATA";"view2",#N/A,FALSE,"EECDATA"}</definedName>
    <definedName name="wrn.eecdata._1_1_2">{"view1",#N/A,FALSE,"EECDATA";"view2",#N/A,FALSE,"EECDATA"}</definedName>
    <definedName name="wrn.eecdata._1_2">{"view1",#N/A,FALSE,"EECDATA";"view2",#N/A,FALSE,"EECDATA"}</definedName>
    <definedName name="wrn.eecdata._1_2_1">{"view1",#N/A,FALSE,"EECDATA";"view2",#N/A,FALSE,"EECDATA"}</definedName>
    <definedName name="wrn.eecdata._1_3">{"view1",#N/A,FALSE,"EECDATA";"view2",#N/A,FALSE,"EECDATA"}</definedName>
    <definedName name="wrn.eecdata._2">{"view1",#N/A,FALSE,"EECDATA";"view2",#N/A,FALSE,"EECDATA"}</definedName>
    <definedName name="wrn.eecdata._2_1">{"view1",#N/A,FALSE,"EECDATA";"view2",#N/A,FALSE,"EECDATA"}</definedName>
    <definedName name="wrn.eecdata._3">{"view1",#N/A,FALSE,"EECDATA";"view2",#N/A,FALSE,"EECDATA"}</definedName>
    <definedName name="wrn.Graf95_96.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1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1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2_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_3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mspd." hidden="1">{#N/A,#N/A,FALSE,"Summary";#N/A,#N/A,FALSE,"Marketable";#N/A,#N/A,FALSE,"Nonmarketable";#N/A,#N/A,FALSE,"GAS";#N/A,#N/A,FALSE,"TableIV";#N/A,#N/A,FALSE,"Footnotes"}</definedName>
    <definedName name="wrn.R22_Data_Collection1997.">{"_R22_General",#N/A,TRUE,"R22_General";"_R22_Questions",#N/A,TRUE,"R22_Questions";"ColA_R22",#N/A,TRUE,"R2295";"_R22_Tables",#N/A,TRUE,"R2295"}</definedName>
    <definedName name="wrn.R22_Data_Collection1997._1">{"_R22_General",#N/A,TRUE,"R22_General";"_R22_Questions",#N/A,TRUE,"R22_Questions";"ColA_R22",#N/A,TRUE,"R2295";"_R22_Tables",#N/A,TRUE,"R2295"}</definedName>
    <definedName name="wrn.R22_Data_Collection1997._1_1">{"_R22_General",#N/A,TRUE,"R22_General";"_R22_Questions",#N/A,TRUE,"R22_Questions";"ColA_R22",#N/A,TRUE,"R2295";"_R22_Tables",#N/A,TRUE,"R2295"}</definedName>
    <definedName name="wrn.R22_Data_Collection1997._1_1_1">{"_R22_General",#N/A,TRUE,"R22_General";"_R22_Questions",#N/A,TRUE,"R22_Questions";"ColA_R22",#N/A,TRUE,"R2295";"_R22_Tables",#N/A,TRUE,"R2295"}</definedName>
    <definedName name="wrn.R22_Data_Collection1997._1_1_1_1">{"_R22_General",#N/A,TRUE,"R22_General";"_R22_Questions",#N/A,TRUE,"R22_Questions";"ColA_R22",#N/A,TRUE,"R2295";"_R22_Tables",#N/A,TRUE,"R2295"}</definedName>
    <definedName name="wrn.R22_Data_Collection1997._1_1_2">{"_R22_General",#N/A,TRUE,"R22_General";"_R22_Questions",#N/A,TRUE,"R22_Questions";"ColA_R22",#N/A,TRUE,"R2295";"_R22_Tables",#N/A,TRUE,"R2295"}</definedName>
    <definedName name="wrn.R22_Data_Collection1997._1_2">{"_R22_General",#N/A,TRUE,"R22_General";"_R22_Questions",#N/A,TRUE,"R22_Questions";"ColA_R22",#N/A,TRUE,"R2295";"_R22_Tables",#N/A,TRUE,"R2295"}</definedName>
    <definedName name="wrn.R22_Data_Collection1997._1_2_1">{"_R22_General",#N/A,TRUE,"R22_General";"_R22_Questions",#N/A,TRUE,"R22_Questions";"ColA_R22",#N/A,TRUE,"R2295";"_R22_Tables",#N/A,TRUE,"R2295"}</definedName>
    <definedName name="wrn.R22_Data_Collection1997._1_3">{"_R22_General",#N/A,TRUE,"R22_General";"_R22_Questions",#N/A,TRUE,"R22_Questions";"ColA_R22",#N/A,TRUE,"R2295";"_R22_Tables",#N/A,TRUE,"R2295"}</definedName>
    <definedName name="wrn.R22_Data_Collection1997._2">{"_R22_General",#N/A,TRUE,"R22_General";"_R22_Questions",#N/A,TRUE,"R22_Questions";"ColA_R22",#N/A,TRUE,"R2295";"_R22_Tables",#N/A,TRUE,"R2295"}</definedName>
    <definedName name="wrn.R22_Data_Collection1997._2_1">{"_R22_General",#N/A,TRUE,"R22_General";"_R22_Questions",#N/A,TRUE,"R22_Questions";"ColA_R22",#N/A,TRUE,"R2295";"_R22_Tables",#N/A,TRUE,"R2295"}</definedName>
    <definedName name="wrn.R22_Data_Collection1997._3">{"_R22_General",#N/A,TRUE,"R22_General";"_R22_Questions",#N/A,TRUE,"R22_Questions";"ColA_R22",#N/A,TRUE,"R2295";"_R22_Tables",#N/A,TRUE,"R2295"}</definedName>
    <definedName name="wrn.TabARA.">{"Page1",#N/A,FALSE,"ARA M&amp;F&amp;T";"Page2",#N/A,FALSE,"ARA M&amp;F&amp;T";"Page3",#N/A,FALSE,"ARA M&amp;F&amp;T"}</definedName>
    <definedName name="wrn.TabARA._1">{"Page1",#N/A,FALSE,"ARA M&amp;F&amp;T";"Page2",#N/A,FALSE,"ARA M&amp;F&amp;T";"Page3",#N/A,FALSE,"ARA M&amp;F&amp;T"}</definedName>
    <definedName name="wrn.TabARA._1_1">{"Page1",#N/A,FALSE,"ARA M&amp;F&amp;T";"Page2",#N/A,FALSE,"ARA M&amp;F&amp;T";"Page3",#N/A,FALSE,"ARA M&amp;F&amp;T"}</definedName>
    <definedName name="wrn.TabARA._1_1_1">{"Page1",#N/A,FALSE,"ARA M&amp;F&amp;T";"Page2",#N/A,FALSE,"ARA M&amp;F&amp;T";"Page3",#N/A,FALSE,"ARA M&amp;F&amp;T"}</definedName>
    <definedName name="wrn.TabARA._1_1_1_1">{"Page1",#N/A,FALSE,"ARA M&amp;F&amp;T";"Page2",#N/A,FALSE,"ARA M&amp;F&amp;T";"Page3",#N/A,FALSE,"ARA M&amp;F&amp;T"}</definedName>
    <definedName name="wrn.TabARA._1_1_2">{"Page1",#N/A,FALSE,"ARA M&amp;F&amp;T";"Page2",#N/A,FALSE,"ARA M&amp;F&amp;T";"Page3",#N/A,FALSE,"ARA M&amp;F&amp;T"}</definedName>
    <definedName name="wrn.TabARA._1_2">{"Page1",#N/A,FALSE,"ARA M&amp;F&amp;T";"Page2",#N/A,FALSE,"ARA M&amp;F&amp;T";"Page3",#N/A,FALSE,"ARA M&amp;F&amp;T"}</definedName>
    <definedName name="wrn.TabARA._1_2_1">{"Page1",#N/A,FALSE,"ARA M&amp;F&amp;T";"Page2",#N/A,FALSE,"ARA M&amp;F&amp;T";"Page3",#N/A,FALSE,"ARA M&amp;F&amp;T"}</definedName>
    <definedName name="wrn.TabARA._1_3">{"Page1",#N/A,FALSE,"ARA M&amp;F&amp;T";"Page2",#N/A,FALSE,"ARA M&amp;F&amp;T";"Page3",#N/A,FALSE,"ARA M&amp;F&amp;T"}</definedName>
    <definedName name="wrn.TabARA._2">{"Page1",#N/A,FALSE,"ARA M&amp;F&amp;T";"Page2",#N/A,FALSE,"ARA M&amp;F&amp;T";"Page3",#N/A,FALSE,"ARA M&amp;F&amp;T"}</definedName>
    <definedName name="wrn.TabARA._2_1">{"Page1",#N/A,FALSE,"ARA M&amp;F&amp;T";"Page2",#N/A,FALSE,"ARA M&amp;F&amp;T";"Page3",#N/A,FALSE,"ARA M&amp;F&amp;T"}</definedName>
    <definedName name="wrn.TabARA._3">{"Page1",#N/A,FALSE,"ARA M&amp;F&amp;T";"Page2",#N/A,FALSE,"ARA M&amp;F&amp;T";"Page3",#N/A,FALSE,"ARA M&amp;F&amp;T"}</definedName>
    <definedName name="wrnnew.tabARA">{"Page1",#N/A,FALSE,"ARA M&amp;F&amp;T";"Page2",#N/A,FALSE,"ARA M&amp;F&amp;T";"Page3",#N/A,FALSE,"ARA M&amp;F&amp;T"}</definedName>
    <definedName name="wrnnew.tabARA_1">{"Page1",#N/A,FALSE,"ARA M&amp;F&amp;T";"Page2",#N/A,FALSE,"ARA M&amp;F&amp;T";"Page3",#N/A,FALSE,"ARA M&amp;F&amp;T"}</definedName>
    <definedName name="wrnnew.tabARA_1_1">{"Page1",#N/A,FALSE,"ARA M&amp;F&amp;T";"Page2",#N/A,FALSE,"ARA M&amp;F&amp;T";"Page3",#N/A,FALSE,"ARA M&amp;F&amp;T"}</definedName>
    <definedName name="wrnnew.tabARA_1_1_1">{"Page1",#N/A,FALSE,"ARA M&amp;F&amp;T";"Page2",#N/A,FALSE,"ARA M&amp;F&amp;T";"Page3",#N/A,FALSE,"ARA M&amp;F&amp;T"}</definedName>
    <definedName name="wrnnew.tabARA_1_1_1_1">{"Page1",#N/A,FALSE,"ARA M&amp;F&amp;T";"Page2",#N/A,FALSE,"ARA M&amp;F&amp;T";"Page3",#N/A,FALSE,"ARA M&amp;F&amp;T"}</definedName>
    <definedName name="wrnnew.tabARA_1_1_2">{"Page1",#N/A,FALSE,"ARA M&amp;F&amp;T";"Page2",#N/A,FALSE,"ARA M&amp;F&amp;T";"Page3",#N/A,FALSE,"ARA M&amp;F&amp;T"}</definedName>
    <definedName name="wrnnew.tabARA_1_2">{"Page1",#N/A,FALSE,"ARA M&amp;F&amp;T";"Page2",#N/A,FALSE,"ARA M&amp;F&amp;T";"Page3",#N/A,FALSE,"ARA M&amp;F&amp;T"}</definedName>
    <definedName name="wrnnew.tabARA_1_2_1">{"Page1",#N/A,FALSE,"ARA M&amp;F&amp;T";"Page2",#N/A,FALSE,"ARA M&amp;F&amp;T";"Page3",#N/A,FALSE,"ARA M&amp;F&amp;T"}</definedName>
    <definedName name="wrnnew.tabARA_1_3">{"Page1",#N/A,FALSE,"ARA M&amp;F&amp;T";"Page2",#N/A,FALSE,"ARA M&amp;F&amp;T";"Page3",#N/A,FALSE,"ARA M&amp;F&amp;T"}</definedName>
    <definedName name="wrnnew.tabARA_2">{"Page1",#N/A,FALSE,"ARA M&amp;F&amp;T";"Page2",#N/A,FALSE,"ARA M&amp;F&amp;T";"Page3",#N/A,FALSE,"ARA M&amp;F&amp;T"}</definedName>
    <definedName name="wrnnew.tabARA_2_1">{"Page1",#N/A,FALSE,"ARA M&amp;F&amp;T";"Page2",#N/A,FALSE,"ARA M&amp;F&amp;T";"Page3",#N/A,FALSE,"ARA M&amp;F&amp;T"}</definedName>
    <definedName name="wrnnew.tabARA_3">{"Page1",#N/A,FALSE,"ARA M&amp;F&amp;T";"Page2",#N/A,FALSE,"ARA M&amp;F&amp;T";"Page3",#N/A,FALSE,"ARA M&amp;F&amp;T"}</definedName>
    <definedName name="wvu.page.16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wvu.page10.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xCh1R">OFFSET(#REF!,0,0,COUNTA(#REF!)-1)</definedName>
    <definedName name="xCh2G">OFFSET(#REF!,0,0,COUNTA(#REF!)-1)</definedName>
    <definedName name="xCh2R">OFFSET(#REF!,0,0,COUNTA(#REF!)-1)</definedName>
    <definedName name="xCh3B">OFFSET(#REF!,0,0,COUNTA(#REF!)-1)</definedName>
    <definedName name="xCh3D">OFFSET(#REF!,0,0,COUNTA(#REF!)-9)</definedName>
    <definedName name="xCh3R">OFFSET(#REF!,0,0,COUNTA(#REF!)-1)</definedName>
    <definedName name="xCh4B">OFFSET(#REF!,0,0,COUNTA(#REF!)-1)</definedName>
    <definedName name="xCh4D">OFFSET(#REF!,0,0,COUNTA(#REF!)-1)</definedName>
    <definedName name="xCh4R">OFFSET(#REF!,0,0,COUNTA(#REF!)-1)</definedName>
    <definedName name="xCh5B">OFFSET(#REF!,0,0,COUNTA(#REF!)-1)</definedName>
    <definedName name="xCh5D">OFFSET(#REF!,0,0,COUNTA(#REF!)-1)</definedName>
    <definedName name="xCh5R">OFFSET(#REF!,0,0,COUNTA(#REF!)-1)</definedName>
    <definedName name="xCh6B">OFFSET(#REF!,0,0,COUNTA(#REF!)-1)</definedName>
    <definedName name="xCh6D">OFFSET(#REF!,0,0,COUNTA(#REF!)-1)</definedName>
    <definedName name="xCh7R">OFFSET(#REF!,0,0,COUNTA(#REF!)-1)</definedName>
    <definedName name="xCh8B">OFFSET(#REF!,0,0,COUNTA(#REF!)-1)</definedName>
    <definedName name="xCh8D">OFFSET(#REF!,0,0,COUNTA(#REF!)-1)</definedName>
    <definedName name="xDate">OFFSET(#REF!,0,0,COUNTA(#REF!)-1)</definedName>
    <definedName name="xx">#REF!</definedName>
    <definedName name="xxx">#REF!</definedName>
    <definedName name="yu" hidden="1">{#N/A,#N/A,FALSE,"Summary";#N/A,#N/A,FALSE,"Marketable";#N/A,#N/A,FALSE,"Nonmarketable";#N/A,#N/A,FALSE,"GAS";#N/A,#N/A,FALSE,"TableIV";#N/A,#N/A,FALSE,"Footnotes"}</definedName>
    <definedName name="啊">#REF!</definedName>
    <definedName name="板材总量">OFFSET(#REF!,0,0,COUNTA(#REF!)-53)</definedName>
    <definedName name="保障性住房成交面积">OFFSET(#REF!,0,0,COUNTA(#REF!)-1)</definedName>
    <definedName name="北京09周均成交">OFFSET(#REF!,0,0,COUNTA(#REF!)-157)</definedName>
    <definedName name="北京保障日期">OFFSET(#REF!,0,0,COUNTA(#REF!)-1)</definedName>
    <definedName name="北京存量">OFFSET(#REF!,0,0,COUNTA(#REF!)-1)</definedName>
    <definedName name="北京存量日期">OFFSET(#REF!,0,0,COUNTA(#REF!)-1)</definedName>
    <definedName name="北京期房">OFFSET(#REF!,0,0,COUNTA(#REF!)-18)</definedName>
    <definedName name="北京期房可售">OFFSET(#REF!,0,0,COUNTA(#REF!)-18)</definedName>
    <definedName name="北京期房日期">OFFSET(#REF!,0,0,COUNTA(#REF!)-18)</definedName>
    <definedName name="北京日期">OFFSET(#REF!,0,0,COUNTA(#REF!)-105)</definedName>
    <definedName name="北京现房">OFFSET(#REF!,0,0,COUNTA(#REF!)-18)</definedName>
    <definedName name="北京一手">OFFSET(#REF!,0,0,COUNTA(#REF!)-105)</definedName>
    <definedName name="表观消费量">OFFSET(#REF!,0,0,COUNTA(#REF!)-71)</definedName>
    <definedName name="表观消费量日期">OFFSET(#REF!,0,0,COUNTA(#REF!)-76)</definedName>
    <definedName name="表观消费量同比">OFFSET(#REF!,0,0,COUNTA(#REF!)-59)</definedName>
    <definedName name="不锈钢data">OFFSET(#REF!,3,3*#REF!+2,IF(#REF!=5,1400,#REF!*125),1)</definedName>
    <definedName name="不锈钢name">OFFSET(#REF!,#REF!,0,1,1)</definedName>
    <definedName name="不锈钢time">OFFSET(#REF!,3,3*#REF!+1,IF(#REF!=5,1400,#REF!*125),1)</definedName>
    <definedName name="财务年度">IF(#REF!=1,#REF!,#REF!)</definedName>
    <definedName name="财政部公布用途">#REF!</definedName>
    <definedName name="产业债">#REF!</definedName>
    <definedName name="成都09">OFFSET(#REF!,0,0,COUNTA(#REF!)-24)</definedName>
    <definedName name="成都日期">OFFSET(#REF!,0,0,COUNTA(#REF!)-1)</definedName>
    <definedName name="成都日期商品房住宅可售套数">OFFSET(#REF!,0,0,COUNTA(#REF!)-18)</definedName>
    <definedName name="成都商品房周成交套数">OFFSET(#REF!,0,0,COUNTA(#REF!)-1)</definedName>
    <definedName name="成都商品房住宅可售套数">OFFSET(#REF!,0,0,COUNTA(#REF!)-1)</definedName>
    <definedName name="成绩">OFFSET(#REF!,1,,COUNT(#REF!))</definedName>
    <definedName name="成交偏离情况">#REF!</definedName>
    <definedName name="城投债">#REF!</definedName>
    <definedName name="出口data1">OFFSET(#REF!,1,4*#REF!-3,IF(#REF!=4,50,#REF!*12),1)</definedName>
    <definedName name="出口data2">OFFSET(#REF!,1,4*#REF!-2,IF(#REF!=4,50,#REF!*12),1)</definedName>
    <definedName name="出口name">OFFSET(#REF!,#REF!,0,1,1)</definedName>
    <definedName name="出口time">OFFSET(#REF!,1,4*#REF!-4,IF(#REF!=4,50,#REF!*12),1)</definedName>
    <definedName name="粗钢产量">OFFSET(#REF!,0,0,COUNTA(#REF!)+3)</definedName>
    <definedName name="粗钢产量日期">OFFSET(#REF!,0,0,COUNTA(#REF!)-2)</definedName>
    <definedName name="粗钢同比">OFFSET(#REF!,0,0,COUNTA(#REF!)+3)</definedName>
    <definedName name="大宗data">OFFSET(#REF!,1,IF(#REF!&lt;5,2*#REF!-1,2*#REF!),IF(#REF!=5,1400,#REF!*125),1)</definedName>
    <definedName name="大宗name">OFFSET(#REF!,#REF!-1,0,1,1)</definedName>
    <definedName name="大宗time">OFFSET(#REF!,1,IF(#REF!&lt;5,2*#REF!-2,2*#REF!-1),IF(#REF!=5,1400,#REF!*125),1)</definedName>
    <definedName name="单位矩阵">#REF!</definedName>
    <definedName name="单位阵">#REF!</definedName>
    <definedName name="地铁2">OFFSET(#REF!,1,#REF!,#REF!,1)</definedName>
    <definedName name="电工钢data1">OFFSET(#REF!,1,5*#REF!-3,IF(#REF!=4,80,#REF!*12),1)</definedName>
    <definedName name="电工钢data2">OFFSET(#REF!,1,5*#REF!-2,IF(#REF!=4,80,#REF!*12),1)</definedName>
    <definedName name="电工钢name">OFFSET(#REF!,#REF!,0,1,1)</definedName>
    <definedName name="电工钢time">OFFSET(#REF!,1,5*#REF!-5,IF(#REF!=4,80,#REF!*12),1)</definedName>
    <definedName name="东莞09">OFFSET(#REF!,0,0,COUNTA(#REF!)-31)</definedName>
    <definedName name="东莞可售数量">OFFSET(#REF!,0,0,COUNTA(#REF!)-1)</definedName>
    <definedName name="东莞日期">OFFSET(#REF!,0,0,COUNTA(#REF!)-1)</definedName>
    <definedName name="东莞日期可售数量">OFFSET(#REF!,0,0,COUNTA(#REF!)-22)</definedName>
    <definedName name="东莞住宅周成交套数">OFFSET(#REF!,0,0,COUNTA(#REF!)-1)</definedName>
    <definedName name="二手住宅周成交套数">OFFSET(#REF!,0,0,COUNTA(#REF!)-1)</definedName>
    <definedName name="二线data">OFFSET(#REF!,1,#REF!+#REF!*6-6,IF(#REF!=5,1900,#REF!*125),1)</definedName>
    <definedName name="二线name">OFFSET(#REF!,#REF!,0,1,1)</definedName>
    <definedName name="二线time">OFFSET(#REF!,1,0,IF(#REF!=5,1300,#REF!*125),1)</definedName>
    <definedName name="封面data">OFFSET(#REF!,1,#REF!*9-4+#REF!,2000,1)</definedName>
    <definedName name="封面name">OFFSET(#REF!,#REF!,0,1,1)</definedName>
    <definedName name="封面time">OFFSET(#REF!,1,0,2000,1)</definedName>
    <definedName name="福州09">OFFSET(#REF!,0,0,COUNTA(#REF!)-23)</definedName>
    <definedName name="福州日期">OFFSET(#REF!,0,0,COUNTA(#REF!)-1)</definedName>
    <definedName name="福州住宅成交均价">OFFSET(#REF!,0,0,COUNTA(#REF!)-1)</definedName>
    <definedName name="福州住宅周成交套数">OFFSET(#REF!,0,0,COUNTA(#REF!)-1)</definedName>
    <definedName name="钢材社会库存总量">OFFSET(#REF!,0,0,COUNTA(#REF!)-53)</definedName>
    <definedName name="钢价data">OFFSET(#REF!,1,#REF!+5*#REF!-5,IF(#REF!=5,3000,#REF!*125),1)</definedName>
    <definedName name="钢价name">OFFSET(#REF!,#REF!,0,1,1)</definedName>
    <definedName name="钢价time">OFFSET(#REF!,1,0,IF(#REF!=5,3000,#REF!*125),1)</definedName>
    <definedName name="高频供需测算">OFFSET(#REF!,1,4*#REF!-3,IF(#REF!=5,3000,#REF!*182),1)</definedName>
    <definedName name="个股跟踪new">OFFSET(#REF!,0,0,COUNTA(#REF!)-2)</definedName>
    <definedName name="估算data1">OFFSET(#REF!,1,9*#REF!-4+#REF!,IF(#REF!=5,3000,#REF!*125),1)</definedName>
    <definedName name="估算name">OFFSET(#REF!,#REF!,0,1,1)</definedName>
    <definedName name="估算time">OFFSET(#REF!,1,0,IF(#REF!=5,3000,#REF!*125),1)</definedName>
    <definedName name="广州09">OFFSET(#REF!,0,0,COUNTA(#REF!)-23)</definedName>
    <definedName name="广州可售套数">OFFSET(#REF!,0,0,COUNTA(#REF!)-1)</definedName>
    <definedName name="广州去化">OFFSET(#REF!,0,0,COUNTA(#REF!)-12)</definedName>
    <definedName name="广州日期">OFFSET(#REF!,0,0,COUNTA(#REF!)-1)</definedName>
    <definedName name="广州日期可售套数">OFFSET(#REF!,0,0,COUNTA(#REF!)-14)</definedName>
    <definedName name="广州日期住宅去库存化周数">OFFSET(#REF!,0,0,COUNTA(#REF!)-1)</definedName>
    <definedName name="广州住日期宅去库存化周数">OFFSET(#REF!,0,0,COUNTA(#REF!)-1)</definedName>
    <definedName name="广州住日期住宅去库存化周数">OFFSET(#REF!,0,0,COUNTA(#REF!)-1)</definedName>
    <definedName name="广州住宅去库存化周数">OFFSET(#REF!,0,0,COUNTA(#REF!)-1)</definedName>
    <definedName name="广州住宅周成交套数">OFFSET(#REF!,0,0,COUNTA(#REF!)-1)</definedName>
    <definedName name="国产矿">OFFSET(#REF!,0,0,COUNTA(#REF!)-2)</definedName>
    <definedName name="国产矿天数">OFFSET(#REF!,0,0,COUNTA(#REF!)-1)</definedName>
    <definedName name="国际钢价data">OFFSET(#REF!,1,IF(#REF!&lt;8,#REF!,2*#REF!-5),IF(#REF!=5,240,#REF!*26),1)</definedName>
    <definedName name="国际钢价name">OFFSET(#REF!,#REF!,0,1,1)</definedName>
    <definedName name="国际钢价time">OFFSET(#REF!,1,IF(#REF!&lt;8,0,2*#REF!-6),IF(#REF!=5,240,#REF!*26),1)</definedName>
    <definedName name="国内产量data1">OFFSET(#REF!,1,IF(#REF!=4,22,6*#REF!-5),IF(#REF!=5,110,#REF!*6),1)</definedName>
    <definedName name="国内产量data2">OFFSET(#REF!,1,IF(#REF!=4,23,6*#REF!-4),IF(#REF!=5,110,#REF!*6),1)</definedName>
    <definedName name="国内产量name">OFFSET(#REF!,#REF!-1,0,1,1)</definedName>
    <definedName name="国内产量time">OFFSET(#REF!,1,0,IF(#REF!=5,110,#REF!*6),1)</definedName>
    <definedName name="海口09">OFFSET(#REF!,0,0,COUNTA(#REF!)-24)</definedName>
    <definedName name="海口成交">OFFSET(#REF!,0,0,COUNTA(#REF!)-1)</definedName>
    <definedName name="海口日期">OFFSET(#REF!,0,0,COUNTA(#REF!)-1)</definedName>
    <definedName name="海口住宅均价">OFFSET(#REF!,0,0,COUNTA(#REF!)-1)</definedName>
    <definedName name="海口住宅周成交套数">OFFSET(#REF!,0,0,COUNTA(#REF!)-1)</definedName>
    <definedName name="海外">OFFSET(#REF!,1,#REF!-1,IF(OR(#REF!=1,#REF!=2),4,IF(#REF!=3,3,1)),1)</definedName>
    <definedName name="海外data">OFFSET(#REF!,1,IF(#REF!=1,#REF!,IF(#REF!=2,6+#REF!,IF(#REF!=3,12+#REF!,17+#REF!))),IF(#REF!=4,100,#REF!*12),1)</definedName>
    <definedName name="海外name">OFFSET(#REF!,#REF!,#REF!-1,1,1)</definedName>
    <definedName name="海外time">OFFSET(#REF!,1,IF(#REF!=1,0,IF(#REF!=2,6,IF(#REF!=3+#REF!,12,17))),IF(#REF!=4,100,#REF!*12),1)</definedName>
    <definedName name="海运data">OFFSET(#REF!,1,3*#REF!-2,IF(#REF!=5,2000,#REF!*125),1)</definedName>
    <definedName name="海运name">OFFSET(#REF!,#REF!,0,1,1)</definedName>
    <definedName name="海运time">OFFSET(#REF!,1,3*#REF!-3,IF(#REF!=5,2000,#REF!*125),1)</definedName>
    <definedName name="韩美欧">OFFSET(#REF!,0,0,IF(#REF!=1,5,4),1)</definedName>
    <definedName name="韩美日data">OFFSET(#REF!,1,IF(#REF!=1,#REF!,IF(#REF!=2,2*#REF!+6,2*#REF!+15)),IF(#REF!=5,140,#REF!*26),1)</definedName>
    <definedName name="韩美日name">OFFSET(#REF!,#REF!-1,0,1,1)</definedName>
    <definedName name="韩美日time">OFFSET(#REF!,1,IF(#REF!=1,0,IF(#REF!=2,2*#REF!+5,2*#REF!+14)),IF(#REF!=5,140,#REF!*26),1)</definedName>
    <definedName name="杭州09">OFFSET(#REF!,0,0,COUNTA(#REF!)-53)</definedName>
    <definedName name="杭州存量房去库存化周数">OFFSET(#REF!,0,0,COUNTA(#REF!)-1)</definedName>
    <definedName name="杭州存量房统计">OFFSET(#REF!,0,0,COUNTA(#REF!)-1)</definedName>
    <definedName name="杭州二手房成交面积">OFFSET(#REF!,0,0,COUNTA(#REF!)-12)</definedName>
    <definedName name="杭州可售">OFFSET(#REF!,0,0,COUNTA(#REF!)-85)</definedName>
    <definedName name="杭州去化">OFFSET(#REF!,0,0,COUNTA(#REF!)-85)</definedName>
    <definedName name="杭州日期">OFFSET(#REF!,0,0,COUNTA(#REF!)-1)</definedName>
    <definedName name="杭州日期存量房">OFFSET(#REF!,0,0,COUNTA(#REF!)-36)</definedName>
    <definedName name="杭州日期可售">OFFSET(#REF!,0,0,COUNTA(#REF!)-85)</definedName>
    <definedName name="杭州商品房周预售套数">OFFSET(#REF!,0,0,COUNTA(#REF!)-1)</definedName>
    <definedName name="合肥09">OFFSET(#REF!,0,0,COUNTA(#REF!)-10)</definedName>
    <definedName name="合肥可售套数">OFFSET(#REF!,0,0,COUNTA(#REF!)-1)</definedName>
    <definedName name="合肥日期">OFFSET(#REF!,0,0,COUNTA(#REF!)-1)</definedName>
    <definedName name="合肥日期可售套数">OFFSET(#REF!,0,0,COUNTA(#REF!)-11)</definedName>
    <definedName name="合肥住宅周成交套数">OFFSET(#REF!,0,0,COUNTA(#REF!)-1)</definedName>
    <definedName name="机械投资data1">OFFSET(#REF!,1,6*#REF!-4,IF(#REF!=5,110,#REF!*11),1)</definedName>
    <definedName name="机械投资data2">OFFSET(#REF!,1,6*#REF!-3,IF(#REF!=5,110,#REF!*11),1)</definedName>
    <definedName name="机械投资name">OFFSET(#REF!,#REF!,0,1,1)</definedName>
    <definedName name="机械投资time">OFFSET(#REF!,1,0,IF(#REF!=5,110,#REF!*11),1)</definedName>
    <definedName name="机械下data1">OFFSET(#REF!,1,#REF!*6-4,IF(#REF!=4,50,#REF!*12),1)</definedName>
    <definedName name="机械下data2">OFFSET(#REF!,1,#REF!*6-2,IF(#REF!=4,50,#REF!*12),1)</definedName>
    <definedName name="机械下name">OFFSET(#REF!,#REF!,0,1,1)</definedName>
    <definedName name="机械下time">OFFSET(#REF!,1,#REF!*6-6,IF(#REF!=4,50,#REF!*12),1)</definedName>
    <definedName name="基建data1">OFFSET(#REF!,1,#REF!*6-3,IF(#REF!=5,110,#REF!*11),1)</definedName>
    <definedName name="基建data2">OFFSET(#REF!,1,#REF!*6-2,IF(#REF!=5,110,#REF!*11),1)</definedName>
    <definedName name="基建name">OFFSET(#REF!,#REF!-1,0,1,1)</definedName>
    <definedName name="基建time">OFFSET(#REF!,1,0,IF(#REF!=5,110,#REF!*11),1)</definedName>
    <definedName name="济南09">OFFSET(#REF!,0,0,COUNTA(#REF!)-3)</definedName>
    <definedName name="济南日期">OFFSET(#REF!,0,0,COUNTA(#REF!)-1)</definedName>
    <definedName name="济南住宅周成交均价">OFFSET(#REF!,0,0,COUNTA(#REF!)-1)</definedName>
    <definedName name="济南住宅周成交套数">OFFSET(#REF!,0,0,COUNTA(#REF!)-1)</definedName>
    <definedName name="交投活跃程度">#REF!</definedName>
    <definedName name="焦煤data1">OFFSET(#REF!,1,4*#REF!-3,IF(#REF!=5,1000,#REF!*125),1)</definedName>
    <definedName name="焦煤data2">OFFSET(#REF!,1,4*#REF!-2,IF(#REF!=5,1000,#REF!*125),1)</definedName>
    <definedName name="焦煤data3">OFFSET(#REF!,1,3*#REF!-2,IF(#REF!=5,300,#REF!*26),1)</definedName>
    <definedName name="焦煤name1">OFFSET(#REF!,1,#REF!-1,1,1)</definedName>
    <definedName name="焦煤name2">OFFSET(#REF!,2,#REF!-1,1,1)</definedName>
    <definedName name="焦煤name3">OFFSET(#REF!,#REF!,0,1,1)</definedName>
    <definedName name="焦煤time1">OFFSET(#REF!,1,4*#REF!-4,IF(#REF!=5,1000,#REF!*125),1)</definedName>
    <definedName name="焦煤time2">OFFSET(#REF!,1,3*#REF!-3,IF(#REF!=5,300,#REF!*26),1)</definedName>
    <definedName name="焦炭产量">OFFSET(#REF!,0,0,COUNTA(#REF!)-1)</definedName>
    <definedName name="焦炭出口价格">OFFSET(#REF!,0,0,COUNTA(#REF!)-1)</definedName>
    <definedName name="焦炭出口日期">OFFSET(#REF!,0,0,COUNTA(#REF!)-2)</definedName>
    <definedName name="焦炭出口数量">OFFSET(#REF!,0,0,COUNTA(#REF!)-1)</definedName>
    <definedName name="焦炭日期">OFFSET(#REF!,0,0,COUNTA(#REF!)-2)</definedName>
    <definedName name="焦炭同比">OFFSET(#REF!,0,0,COUNTA(#REF!)-1)</definedName>
    <definedName name="进出口data1">OFFSET(#REF!,1,2*#REF!-1+6*#REF!-6,IF(#REF!=4,50,#REF!*12),1)</definedName>
    <definedName name="进出口data2">OFFSET(#REF!,1,2*#REF!+6*#REF!-6,IF(#REF!=4,50,#REF!*12),1)</definedName>
    <definedName name="进出口name">OFFSET(#REF!,#REF!,0,1,1)</definedName>
    <definedName name="进出口time">OFFSET(#REF!,1,6*#REF!-6,IF(#REF!=4,50,#REF!*12),1)</definedName>
    <definedName name="进口data1">OFFSET(#REF!,1,4*#REF!-3,IF(#REF!=4,50,#REF!*12),1)</definedName>
    <definedName name="进口data2">OFFSET(#REF!,1,4*#REF!-2,IF(#REF!=4,50,#REF!*12),1)</definedName>
    <definedName name="进口name">OFFSET(#REF!,#REF!,0,1,1)</definedName>
    <definedName name="进口time">OFFSET(#REF!,1,4*#REF!-4,IF(#REF!=4,50,#REF!*12),1)</definedName>
    <definedName name="进口矿">OFFSET(#REF!,0,0,COUNTA(#REF!)-2)</definedName>
    <definedName name="进口矿天数">OFFSET(#REF!,0,0,COUNTA(#REF!)-1)</definedName>
    <definedName name="旧库存data1">OFFSET(#REF!,1,9*#REF!-8,52,1)</definedName>
    <definedName name="旧库存data2">OFFSET(#REF!,1,9*#REF!-7,52,1)</definedName>
    <definedName name="旧库存data3">OFFSET(#REF!,1,9*#REF!-6,52,1)</definedName>
    <definedName name="旧库存data4">OFFSET(#REF!,1,9*#REF!-5,52,1)</definedName>
    <definedName name="旧库存data5">OFFSET(#REF!,1,9*#REF!-4,52,1)</definedName>
    <definedName name="旧库存data6">OFFSET(#REF!,1,9*#REF!-3,52,1)</definedName>
    <definedName name="旧库存data7">OFFSET(#REF!,1,9*#REF!-2,52,1)</definedName>
    <definedName name="旧库存data8">OFFSET(#REF!,1,10*#REF!-2,52,1)</definedName>
    <definedName name="旧库存time">OFFSET(#REF!,1,0,52,1)</definedName>
    <definedName name="可售期房统计">OFFSET(#REF!,0,0,COUNTA(#REF!)-1)</definedName>
    <definedName name="库存钢价data1">OFFSET(#REF!,1,4*#REF!-3,IF(#REF!=5,450,#REF!*26),1)</definedName>
    <definedName name="库存钢价data2">OFFSET(#REF!,1,4*#REF!-2,IF(#REF!=5,450,#REF!*26),1)</definedName>
    <definedName name="库存钢价name1">OFFSET(#REF!,#REF!,0,1,1)</definedName>
    <definedName name="库存钢价name2">OFFSET(#REF!,#REF!,1,1,1)</definedName>
    <definedName name="库存钢价time">OFFSET(#REF!,1,0,IF(#REF!=5,450,#REF!*26),1)</definedName>
    <definedName name="库存综合使用天数">OFFSET(#REF!,0,0,COUNTA(#REF!)-1)</definedName>
    <definedName name="矿价data">OFFSET(#REF!,1,IF(#REF!=3,6,#REF!),IF(#REF!=3,300,#REF!*125),1)</definedName>
    <definedName name="矿价data1">OFFSET(#REF!,1,4*#REF!-3,IF(#REF!=5,800,#REF!*125),1)</definedName>
    <definedName name="矿价data2">OFFSET(#REF!,1,4*#REF!-2,IF(#REF!=5,800,#REF!*125),1)</definedName>
    <definedName name="矿价name1">OFFSET(#REF!,1,#REF!-1,1,1)</definedName>
    <definedName name="矿价name2">OFFSET(#REF!,2,#REF!-1,1,1)</definedName>
    <definedName name="矿价name3">OFFSET(#REF!,#REF!-1,0,1,1)</definedName>
    <definedName name="矿价time">OFFSET(#REF!,1,IF(#REF!=3,5,0),IF(#REF!=3,300,#REF!*125),1)</definedName>
    <definedName name="矿价time1">OFFSET(#REF!,1,4*#REF!-4,IF(#REF!=5,800,#REF!*125),1)</definedName>
    <definedName name="矿石产量">OFFSET(#REF!,0,0,COUNTA(#REF!)-1)</definedName>
    <definedName name="矿石进口日期">OFFSET(#REF!,0,0,COUNTA(#REF!)-2)</definedName>
    <definedName name="矿石进口数量">OFFSET(#REF!,0,0,COUNTA(#REF!)-1)</definedName>
    <definedName name="矿石进口同比">OFFSET(#REF!,0,0,COUNTA(#REF!)-1)</definedName>
    <definedName name="矿石库存日期">OFFSET(#REF!,0,0,COUNTA(#REF!)-248)</definedName>
    <definedName name="矿石日期">OFFSET(#REF!,0,0,COUNTA(#REF!)-2)</definedName>
    <definedName name="矿石同比">OFFSET(#REF!,0,0,COUNTA(#REF!)-1)</definedName>
    <definedName name="昆明09">OFFSET(#REF!,0,0,COUNTA(#REF!)-27)</definedName>
    <definedName name="昆明成交均价">OFFSET(#REF!,0,0,COUNTA(#REF!)-1)</definedName>
    <definedName name="昆明日期">OFFSET(#REF!,0,0,COUNTA(#REF!)-1)</definedName>
    <definedName name="昆明周成交套数">OFFSET(#REF!,0,0,COUNTA(#REF!)-1)</definedName>
    <definedName name="冷轧">OFFSET(#REF!,0,0,COUNTA(#REF!)-53)</definedName>
    <definedName name="里昂惕夫逆矩阵">#REF!</definedName>
    <definedName name="陆股通——占比自由流通">OFFSET(#REF!,0,#REF!)</definedName>
    <definedName name="陆股通—占比总股本">OFFSET(#REF!,0,#REF!)</definedName>
    <definedName name="螺纹钢">OFFSET(#REF!,0,0,COUNTA(#REF!)-53)</definedName>
    <definedName name="贸易矿">OFFSET(#REF!,0,0,COUNTA(#REF!)+6)</definedName>
    <definedName name="贸易矿占比">OFFSET(#REF!,0,0,COUNTA(#REF!)+6)</definedName>
    <definedName name="美联储" hidden="1">#REF!</definedName>
    <definedName name="美联储加息次数预测" hidden="1">#REF!</definedName>
    <definedName name="美联储加息次数预测周报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名称">OFFSET(#REF!,1,,COUNTA(#REF!))</definedName>
    <definedName name="目录">#REF!</definedName>
    <definedName name="南昌09">OFFSET(#REF!,0,0,COUNTA(#REF!)-7)</definedName>
    <definedName name="南昌二手房周成交套数">OFFSET(#REF!,0,0,COUNTA(#REF!)-1)</definedName>
    <definedName name="南昌日期">OFFSET(#REF!,0,0,COUNTA(#REF!)-1)</definedName>
    <definedName name="南昌一手房周成交套数">OFFSET(#REF!,0,0,COUNTA(#REF!)-1)</definedName>
    <definedName name="南京09">OFFSET(#REF!,0,0,COUNTA(#REF!)-24)</definedName>
    <definedName name="南京日期">OFFSET(#REF!,0,0,COUNTA(#REF!)-1)</definedName>
    <definedName name="南京日期商品房去库存化周数">OFFSET(#REF!,0,0,COUNTA(#REF!)-1)</definedName>
    <definedName name="南京日期商品住宅去库存化周数">OFFSET(#REF!,0,0,COUNTA(#REF!)-1)</definedName>
    <definedName name="南京商品房去库存化周数">OFFSET(#REF!,0,0,COUNTA(#REF!)-1)</definedName>
    <definedName name="南京商品住宅库存">OFFSET(#REF!,0,0,COUNTA(#REF!)-1)</definedName>
    <definedName name="南京商品住宅去库存化周数">OFFSET(#REF!,0,0,COUNTA(#REF!)-1)</definedName>
    <definedName name="南京商品住宅周成交套数">OFFSET(#REF!,0,0,COUNTA(#REF!)-1)</definedName>
    <definedName name="南京预售商品房周预售套数">OFFSET(#REF!,0,0,COUNTA(#REF!)-1)</definedName>
    <definedName name="逆矩阵">#REF!</definedName>
    <definedName name="逆阵">#REF!</definedName>
    <definedName name="宁波09">OFFSET(#REF!,0,0,COUNTA(#REF!)-23)</definedName>
    <definedName name="宁波可售套数">OFFSET(#REF!,0,0,COUNTA(#REF!)-1)</definedName>
    <definedName name="宁波去化">OFFSET(#REF!,0,0,COUNTA(#REF!)-1)</definedName>
    <definedName name="宁波日期">OFFSET(#REF!,0,0,COUNTA(#REF!)-1)</definedName>
    <definedName name="宁波日期可售套数">OFFSET(#REF!,0,0,COUNTA(#REF!)-24)</definedName>
    <definedName name="宁波商品房去库存化周数">OFFSET(#REF!,0,0,COUNTA(#REF!)-1)</definedName>
    <definedName name="宁波周成交套数">OFFSET(#REF!,0,0,COUNTA(#REF!)-1)</definedName>
    <definedName name="期限分析data">OFFSET(#REF!,1,IF(#REF!&gt;8,2+#REF!,#REF!),IF(#REF!=5,1400,#REF!*125),1)</definedName>
    <definedName name="期限分析name">OFFSET(#REF!,#REF!-1,0,1,1)</definedName>
    <definedName name="期限分析time">OFFSET(#REF!,1,0,IF(#REF!=5,1400,#REF!*125),1)</definedName>
    <definedName name="期限利差">#REF!</definedName>
    <definedName name="企业库存">OFFSET(#REF!,0,0,COUNTA(#REF!)-1)</definedName>
    <definedName name="企业库存日期">OFFSET(#REF!,0,0,COUNTA(#REF!)-2)</definedName>
    <definedName name="青岛09周均成交">OFFSET(#REF!,0,0,COUNTA(#REF!)-34)</definedName>
    <definedName name="青岛去库存化">OFFSET(#REF!,0,0,COUNTA(#REF!)-12)</definedName>
    <definedName name="青岛去库存化日期">OFFSET(#REF!,0,0,COUNTA(#REF!)-12)</definedName>
    <definedName name="青岛日期">OFFSET(#REF!,0,0,COUNTA(#REF!)-1)</definedName>
    <definedName name="青岛一手房房源面积">OFFSET(#REF!,0,0,COUNTA(#REF!)-1)</definedName>
    <definedName name="青岛住宅周成交套数">OFFSET(#REF!,0,0,COUNTA(#REF!)-1)</definedName>
    <definedName name="热轧">OFFSET(#REF!,0,0,COUNTA(#REF!)-53)</definedName>
    <definedName name="任务">#REF!</definedName>
    <definedName name="日期">OFFSET(#REF!,0,0,COUNTA(#REF!)-2)</definedName>
    <definedName name="日期2">OFFSET(#REF!,0,0,COUNTA(#REF!)-53)</definedName>
    <definedName name="日期保障房">OFFSET(#REF!,0,0,COUNTA(#REF!)-37)</definedName>
    <definedName name="日期二手住宅">OFFSET(#REF!,0,0,COUNTA(#REF!)-31)</definedName>
    <definedName name="日期可售期房">OFFSET(#REF!,0,0,COUNTA(#REF!)-54)</definedName>
    <definedName name="厦门09">OFFSET(#REF!,0,0,COUNTA(#REF!)-23)</definedName>
    <definedName name="厦门可售住宅套数">OFFSET(#REF!,0,0,COUNTA(#REF!)-1)</definedName>
    <definedName name="厦门去化时间">OFFSET(#REF!,0,0,COUNTA(#REF!)-12)</definedName>
    <definedName name="厦门日期">OFFSET(#REF!,0,0,COUNTA(#REF!)-1)</definedName>
    <definedName name="厦门日期住宅去库存化周数">OFFSET(#REF!,0,0,COUNTA(#REF!)-1)</definedName>
    <definedName name="厦门住宅周成交套数">OFFSET(#REF!,0,0,COUNTA(#REF!)-1)</definedName>
    <definedName name="上海09周均成交">OFFSET(#REF!,0,0,COUNTA(#REF!)-105)</definedName>
    <definedName name="上海二手房源套数">OFFSET(#REF!,0,0,COUNTA(#REF!)-83)</definedName>
    <definedName name="上海去化日期">OFFSET(#REF!,0,0,COUNTA(#REF!)-83)</definedName>
    <definedName name="上海去化时间">OFFSET(#REF!,0,0,COUNTA(#REF!)-83)</definedName>
    <definedName name="上海日期">OFFSET(#REF!,0,0,COUNTA(#REF!)-53)</definedName>
    <definedName name="上海日期二手房源套数">OFFSET(#REF!,0,0,COUNTA(#REF!)-13)</definedName>
    <definedName name="上海日期住宅周成交套数">OFFSET(#REF!,0,0,COUNTA(#REF!)-83)</definedName>
    <definedName name="上海一手房去库存化周数">OFFSET(#REF!,0,0,COUNTA(#REF!)-1)</definedName>
    <definedName name="上海一手房源套数">OFFSET(#REF!,0,0,COUNTA(#REF!)-1)</definedName>
    <definedName name="上海一手房周成交套数">OFFSET(#REF!,0,0,COUNTA(#REF!)-1)</definedName>
    <definedName name="上海住宅周成交套数">OFFSET(#REF!,0,0,COUNTA(#REF!)-53)</definedName>
    <definedName name="深圳09">OFFSET(#REF!,0,0,COUNTA(#REF!)-105)</definedName>
    <definedName name="深圳成交">OFFSET(#REF!,0,0,COUNTA(#REF!)-53)</definedName>
    <definedName name="深圳成交日期">OFFSET(#REF!,0,0,COUNTA(#REF!)-53)</definedName>
    <definedName name="深圳二手房周成交面积">OFFSET(#REF!,0,0,COUNTA(#REF!)-1)</definedName>
    <definedName name="深圳去化">OFFSET(#REF!,0,0,COUNTA(#REF!)-48)</definedName>
    <definedName name="深圳日期">OFFSET(#REF!,0,0,COUNTA(#REF!)-1)</definedName>
    <definedName name="深圳时间二手房周成交面积">OFFSET(#REF!,0,0,COUNTA(#REF!)-1)</definedName>
    <definedName name="深圳时间去库存化">OFFSET(#REF!,0,0,COUNTA(#REF!)-12)</definedName>
    <definedName name="深圳时间一手房周成交套数">OFFSET(#REF!,0,0,COUNTA(#REF!)-1)</definedName>
    <definedName name="深圳一手房可售套数">OFFSET(#REF!,0,0,COUNTA(#REF!)-1)</definedName>
    <definedName name="深圳一手房去库存化周数">OFFSET(#REF!,0,0,COUNTA(#REF!)-1)</definedName>
    <definedName name="深圳一手房周成交套数">OFFSET(#REF!,0,0,COUNTA(#REF!)-1)</definedName>
    <definedName name="数据呈现">#REF!</definedName>
    <definedName name="水泥data">OFFSET(#REF!,1,#REF!,IF(#REF!=5,350,#REF!*26),1)</definedName>
    <definedName name="水泥name">OFFSET(#REF!,#REF!,0,1,1)</definedName>
    <definedName name="水泥time">OFFSET(#REF!,1,0,IF(#REF!=5,350,#REF!*26),1)</definedName>
    <definedName name="水泥均价">OFFSET(#REF!,0,0,COUNTA(#REF!)-1)</definedName>
    <definedName name="水泥日期">OFFSET(#REF!,0,0,COUNTA(#REF!)-2)</definedName>
    <definedName name="苏州09">OFFSET(#REF!,0,0,COUNTA(#REF!)-32)</definedName>
    <definedName name="苏州二手住宅周成交套数">OFFSET(#REF!,0,0,COUNTA(#REF!)-1)</definedName>
    <definedName name="苏州日期">OFFSET(#REF!,0,0,COUNTA(#REF!)-1)</definedName>
    <definedName name="苏州日期二手住宅周成交套数">OFFSET(#REF!,0,0,COUNTA(#REF!)-30)</definedName>
    <definedName name="苏州一手住宅周成交套数">OFFSET(#REF!,0,0,COUNTA(#REF!)-1)</definedName>
    <definedName name="特殊2">{"'Inversión Extranjera'!$A$1:$AG$74","'Inversión Extranjera'!$G$7:$AF$61"}</definedName>
    <definedName name="特殊2_1">{"'Inversión Extranjera'!$A$1:$AG$74","'Inversión Extranjera'!$G$7:$AF$61"}</definedName>
    <definedName name="天津09周均成交">OFFSET(#REF!,0,0,COUNTA(#REF!)-105)</definedName>
    <definedName name="天津二手住宅成交均价">OFFSET(#REF!,0,0,COUNTA(#REF!)-1)</definedName>
    <definedName name="天津二手住宅成交套数">OFFSET(#REF!,0,0,COUNTA(#REF!)-1)</definedName>
    <definedName name="天津日期">OFFSET(#REF!,0,0,COUNTA(#REF!)-53)</definedName>
    <definedName name="天津日期二手住宅成交套数">OFFSET(#REF!,0,0,COUNTA(#REF!)-1)</definedName>
    <definedName name="天津一手住宅成交均价">OFFSET(#REF!,0,0,COUNTA(#REF!)-1)</definedName>
    <definedName name="天津一手住宅成交套数">OFFSET(#REF!,0,0,COUNTA(#REF!)-53)</definedName>
    <definedName name="铁矿石掉期data">OFFSET(#REF!,0,#REF!*3-2,IF(#REF!=5,1200,#REF!*125),1)</definedName>
    <definedName name="铁矿石掉期name">OFFSET(#REF!,#REF!-1,0,1,1)</definedName>
    <definedName name="铁矿石掉期time">OFFSET(#REF!,0,#REF!*3-3,IF(#REF!=5,1200,#REF!*125),1)</definedName>
    <definedName name="同比增长1">OFFSET(#REF!,0,0,COUNTA(#REF!)-1)</definedName>
    <definedName name="同比增长2">OFFSET(#REF!,0,0,COUNTA(#REF!)-1)</definedName>
    <definedName name="同比增长3">OFFSET(#REF!,0,0,COUNTA(#REF!)-1)</definedName>
    <definedName name="同比增长4">OFFSET(#REF!,0,0,COUNTA(#REF!)-1)</definedName>
    <definedName name="同比增长5">OFFSET(#REF!,0,0,COUNTA(#REF!)-1)</definedName>
    <definedName name="同比增长6">OFFSET(#REF!,0,0,COUNTA(#REF!)-1)</definedName>
    <definedName name="同比增长7">OFFSET(#REF!,0,0,COUNTA(#REF!)-1)</definedName>
    <definedName name="同比增长8">OFFSET(#REF!,0,0,COUNTA(#REF!)-1)</definedName>
    <definedName name="图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外矿配比">OFFSET(#REF!,0,0,COUNTA(#REF!)-1)</definedName>
    <definedName name="温州09">OFFSET(#REF!,0,0,COUNTA(#REF!)-9)</definedName>
    <definedName name="温州房源总量套数">OFFSET(#REF!,0,0,COUNTA(#REF!)-1)</definedName>
    <definedName name="温州日期">OFFSET(#REF!,0,0,COUNTA(#REF!)-1)</definedName>
    <definedName name="温州日期房源总量套数">OFFSET(#REF!,0,0,COUNTA(#REF!)-10)</definedName>
    <definedName name="温州住宅周成交套数">OFFSET(#REF!,0,0,COUNTA(#REF!)-1)</definedName>
    <definedName name="文字底稿1" hidden="1">{TRUE,FALSE,-1.25,-15.5,484.5,276.75,FALSE,FALSE,TRUE,TRUE,0,1,#N/A,16,#N/A,8.89380530973451,19.4666666666667,1,FALSE,FALSE,3,TRUE,1,FALSE,75,"Swvu.page10.","ACwvu.page10.",#N/A,FALSE,FALSE,0,0,0.25,0.25,1,"","",TRUE,FALSE,FALSE,FALSE,1,60,#N/A,#N/A,FALSE,FALSE,FALSE,FALSE,FALSE,FALSE,FALSE,1,65532,65532,FALSE,FALSE,TRUE,TRUE,TRUE}</definedName>
    <definedName name="武汉09">OFFSET(#REF!,0,0,COUNTA(#REF!)-11)</definedName>
    <definedName name="武汉成交面积">OFFSET(#REF!,0,0,COUNTA(#REF!)-1)</definedName>
    <definedName name="武汉日期">OFFSET(#REF!,0,0,COUNTA(#REF!)-1)</definedName>
    <definedName name="武汉商品房周成交均价">OFFSET(#REF!,0,0,COUNTA(#REF!)-1)</definedName>
    <definedName name="武汉商品房周成交套数">OFFSET(#REF!,0,0,COUNTA(#REF!)-1)</definedName>
    <definedName name="西安可售总套数">OFFSET(#REF!,0,0,COUNTA(#REF!)-1)</definedName>
    <definedName name="西安日期">OFFSET(#REF!,0,0,COUNTA(#REF!)-1)</definedName>
    <definedName name="西安周销售总套数">OFFSET(#REF!,0,0,COUNTA(#REF!)-1)</definedName>
    <definedName name="细分品种">#REF!</definedName>
    <definedName name="下游PMIdata">OFFSET(#REF!,1,7*#REF!-7+#REF!,IF(#REF!=4,90,#REF!*12),1)</definedName>
    <definedName name="下游PMIname">OFFSET(#REF!,#REF!-1,0,1,1)</definedName>
    <definedName name="下游PMItime">OFFSET(#REF!,1,0,IF(#REF!=4,90,#REF!*12),1)</definedName>
    <definedName name="线材">OFFSET(#REF!,0,0,COUNTA(#REF!)-53)</definedName>
    <definedName name="小矿库存">OFFSET(#REF!,0,0,COUNTA(#REF!)-1)</definedName>
    <definedName name="小矿库存日期">OFFSET(#REF!,0,0,COUNTA(#REF!)-1)</definedName>
    <definedName name="小品种data1">OFFSET(#REF!,1,#REF!*3+6,IF(#REF!=5,2400,#REF!*125),1)</definedName>
    <definedName name="小品种data2">OFFSET(#REF!,1,IF(#REF!=3,5,#REF!),IF(#REF!=5,500,#REF!*26),1)</definedName>
    <definedName name="小品种name1">OFFSET(#REF!,#REF!,0,1,1)</definedName>
    <definedName name="小品种name2">OFFSET(#REF!,#REF!,0,1,1)</definedName>
    <definedName name="小品种time1">OFFSET(#REF!,1,#REF!*3+5,IF(#REF!=5,2400,#REF!*125),1)</definedName>
    <definedName name="小品种time2">OFFSET(#REF!,1,IF(#REF!=3,4,0),IF(#REF!=5,500,#REF!*26),1)</definedName>
    <definedName name="新社会库存data1">OFFSET(#REF!,1,IF(#REF!=1,1,4*#REF!+1),IF(#REF!=5,400,#REF!*26),1)</definedName>
    <definedName name="新社会库存data2">OFFSET(#REF!,1,IF(#REF!=1,2,4*#REF!+2),IF(#REF!=5,400,#REF!*26),1)</definedName>
    <definedName name="新社会库存name">OFFSET(#REF!,#REF!-1,0,1,1)</definedName>
    <definedName name="新社会库存time">OFFSET(#REF!,1,0,IF(#REF!=5,400,#REF!*26),1)</definedName>
    <definedName name="信用利差">#REF!</definedName>
    <definedName name="信用债市场整体">#REF!</definedName>
    <definedName name="旬度产量">OFFSET(#REF!,0,0,COUNTA(#REF!)-1)</definedName>
    <definedName name="旬度产量日期">OFFSET(#REF!,0,0,COUNTA(#REF!)-2)</definedName>
    <definedName name="一手房去库存化周数">OFFSET(#REF!,0,0,COUNTA(#REF!)-1)</definedName>
    <definedName name="一手住宅周成交套数">OFFSET(#REF!,0,0,COUNTA(#REF!)-1)</definedName>
    <definedName name="印南巴">OFFSET(#REF!,1,#REF!-1,#REF!+1,1)</definedName>
    <definedName name="印南巴data">OFFSET(#REF!,1,IF(#REF!=1,#REF!,IF(#REF!=2,6+#REF!,11+#REF!)),IF(#REF!=3,140,#REF!*26),1)</definedName>
    <definedName name="印南巴name">OFFSET(#REF!,#REF!,#REF!-1,1,1)</definedName>
    <definedName name="印南巴time">OFFSET(#REF!,1,IF(#REF!=1,0,IF(#REF!=2,6,11)),IF(#REF!=3,140,#REF!*26),1)</definedName>
    <definedName name="用途">#REF!</definedName>
    <definedName name="长材总量">OFFSET(#REF!,0,0,COUNTA(#REF!)-53)</definedName>
    <definedName name="长春09">OFFSET(#REF!,0,0,COUNTA(#REF!)-10)</definedName>
    <definedName name="长春二手住宅周成交套数">OFFSET(#REF!,0,0,COUNTA(#REF!)-1)</definedName>
    <definedName name="长春日期">OFFSET(#REF!,0,0,COUNTA(#REF!)-1)</definedName>
    <definedName name="长春一手面积">OFFSET(#REF!,0,0,COUNTA(#REF!)-1)</definedName>
    <definedName name="长春一手住宅周成交套数">OFFSET(#REF!,0,0,COUNTA(#REF!)-1)</definedName>
    <definedName name="长沙09">OFFSET(#REF!,0,0,COUNTA(#REF!)-24)</definedName>
    <definedName name="长沙二手房周销售套数">OFFSET(#REF!,0,0,COUNTA(#REF!)-1)</definedName>
    <definedName name="长沙日期">OFFSET(#REF!,0,0,COUNTA(#REF!)-1)</definedName>
    <definedName name="长沙一手房销售套数">OFFSET(#REF!,0,0,COUNTA(#REF!)-1)</definedName>
    <definedName name="郑州二手房周成交套数">OFFSET(#REF!,0,0,COUNTA(#REF!)-1)</definedName>
    <definedName name="郑州日期">OFFSET(#REF!,0,0,COUNTA(#REF!)-1)</definedName>
    <definedName name="郑州商品住宅周成交套数">OFFSET(#REF!,0,0,COUNTA(#REF!)-1)</definedName>
    <definedName name="指标2">IF(#REF!=1,#REF!,#REF!)</definedName>
    <definedName name="指标3">IF(#REF!=1,#REF!,#REF!)</definedName>
    <definedName name="指标4">IF(#REF!=1,#REF!,#REF!)</definedName>
    <definedName name="指标5">IF(#REF!=1,#REF!,#REF!)</definedName>
    <definedName name="指标6">IF(#REF!=1,#REF!,#REF!)</definedName>
    <definedName name="指标7">IF(#REF!=1,#REF!,#REF!)</definedName>
    <definedName name="指标8">IF(#REF!=1,#REF!,#REF!)</definedName>
    <definedName name="指标9">IF(#REF!=1,#REF!,#REF!)</definedName>
    <definedName name="指数data1">OFFSET(#REF!,1,4*#REF!-3,IF(#REF!=5,3000,#REF!*182),1)</definedName>
    <definedName name="指数data2">OFFSET(#REF!,1,#REF!*4-2,IF(#REF!=5,3000,#REF!*182),1)</definedName>
    <definedName name="指数name">OFFSET(#REF!,#REF!,0,1,1)</definedName>
    <definedName name="指数time">OFFSET(#REF!,1,4*#REF!-4,IF(#REF!=5,2500,#REF!*120),1)</definedName>
    <definedName name="中板">OFFSET(#REF!,0,0,COUNTA(#REF!)-53)</definedName>
    <definedName name="重庆09">OFFSET(#REF!,0,0,COUNTA(#REF!)-24)</definedName>
    <definedName name="重庆成交均价">OFFSET(#REF!,0,0,COUNTA(#REF!)-1)</definedName>
    <definedName name="重庆日期">OFFSET(#REF!,0,0,COUNTA(#REF!)-1)</definedName>
    <definedName name="重庆周成交套数">OFFSET(#REF!,0,0,COUNTA(#REF!)-1)</definedName>
    <definedName name="周度累计采购量">OFFSET(#REF!,0,0,COUNTA(#REF!)+10)</definedName>
    <definedName name="周度累计同比">OFFSET(#REF!,0,0,COUNTA(#REF!)+62)</definedName>
    <definedName name="最新股本">#REF!</definedName>
    <definedName name="最新股价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2" l="1"/>
  <c r="U5" i="12"/>
  <c r="U6" i="12"/>
  <c r="U7" i="12"/>
  <c r="U8" i="12"/>
  <c r="U9" i="12"/>
  <c r="U10" i="12"/>
  <c r="U11" i="12"/>
  <c r="U12" i="12"/>
  <c r="U13" i="12"/>
  <c r="U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W2" i="12"/>
  <c r="D2" i="12" l="1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E9" i="12"/>
  <c r="C9" i="12" s="1"/>
  <c r="B9" i="12" s="1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E10" i="12"/>
  <c r="C10" i="12" s="1"/>
  <c r="B10" i="12" s="1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D4" i="12"/>
  <c r="D5" i="12"/>
  <c r="C5" i="12" s="1"/>
  <c r="B5" i="12" s="1"/>
  <c r="D6" i="12"/>
  <c r="C6" i="12" s="1"/>
  <c r="B6" i="12" s="1"/>
  <c r="D7" i="12"/>
  <c r="C7" i="12" s="1"/>
  <c r="B7" i="12" s="1"/>
  <c r="D8" i="12"/>
  <c r="D9" i="12"/>
  <c r="D10" i="12"/>
  <c r="D11" i="12"/>
  <c r="D12" i="12"/>
  <c r="D13" i="12"/>
  <c r="D14" i="12"/>
  <c r="D15" i="12"/>
  <c r="D16" i="12"/>
  <c r="D3" i="12"/>
  <c r="C11" i="12"/>
  <c r="B11" i="12" s="1"/>
  <c r="C12" i="12" l="1"/>
  <c r="B12" i="12" s="1"/>
  <c r="C14" i="12"/>
  <c r="B14" i="12" s="1"/>
  <c r="C8" i="12"/>
  <c r="B8" i="12" s="1"/>
  <c r="C4" i="12"/>
  <c r="B4" i="12" s="1"/>
  <c r="C13" i="12"/>
  <c r="B13" i="12" s="1"/>
  <c r="C16" i="12"/>
  <c r="B16" i="12" s="1"/>
  <c r="C15" i="12"/>
  <c r="B15" i="12" s="1"/>
  <c r="C3" i="12"/>
  <c r="B3" i="12" s="1"/>
</calcChain>
</file>

<file path=xl/sharedStrings.xml><?xml version="1.0" encoding="utf-8"?>
<sst xmlns="http://schemas.openxmlformats.org/spreadsheetml/2006/main" count="31" uniqueCount="26">
  <si>
    <t>生产资料</t>
  </si>
  <si>
    <r>
      <rPr>
        <b/>
        <sz val="16"/>
        <color theme="0"/>
        <rFont val="楷体_GB2312"/>
        <family val="3"/>
        <charset val="134"/>
      </rPr>
      <t>单位：</t>
    </r>
    <r>
      <rPr>
        <b/>
        <sz val="16"/>
        <color theme="0"/>
        <rFont val="Arial"/>
        <family val="2"/>
      </rPr>
      <t>%</t>
    </r>
  </si>
  <si>
    <t>较上月变化</t>
  </si>
  <si>
    <r>
      <rPr>
        <b/>
        <sz val="16"/>
        <color theme="1"/>
        <rFont val="Arial"/>
        <family val="2"/>
      </rPr>
      <t>CPI</t>
    </r>
    <r>
      <rPr>
        <b/>
        <sz val="16"/>
        <color theme="1"/>
        <rFont val="楷体_GB2312"/>
        <family val="3"/>
        <charset val="134"/>
      </rPr>
      <t>同比</t>
    </r>
  </si>
  <si>
    <t>核心</t>
  </si>
  <si>
    <t>食品</t>
  </si>
  <si>
    <t>非食品</t>
  </si>
  <si>
    <r>
      <rPr>
        <b/>
        <sz val="16"/>
        <color theme="1"/>
        <rFont val="Arial"/>
        <family val="2"/>
      </rPr>
      <t>CPI</t>
    </r>
    <r>
      <rPr>
        <b/>
        <sz val="16"/>
        <color theme="1"/>
        <rFont val="楷体_GB2312"/>
        <family val="3"/>
        <charset val="134"/>
      </rPr>
      <t>环比</t>
    </r>
  </si>
  <si>
    <r>
      <rPr>
        <b/>
        <sz val="16"/>
        <color theme="1"/>
        <rFont val="Arial"/>
        <family val="2"/>
      </rPr>
      <t>PPI</t>
    </r>
    <r>
      <rPr>
        <b/>
        <sz val="16"/>
        <color theme="1"/>
        <rFont val="楷体_GB2312"/>
        <family val="3"/>
        <charset val="134"/>
      </rPr>
      <t>同比</t>
    </r>
  </si>
  <si>
    <t>生活资料</t>
  </si>
  <si>
    <r>
      <rPr>
        <b/>
        <sz val="16"/>
        <color theme="1"/>
        <rFont val="Arial"/>
        <family val="2"/>
      </rPr>
      <t>PPI</t>
    </r>
    <r>
      <rPr>
        <b/>
        <sz val="16"/>
        <color theme="1"/>
        <rFont val="楷体_GB2312"/>
        <family val="3"/>
        <charset val="134"/>
      </rPr>
      <t>环比</t>
    </r>
  </si>
  <si>
    <r>
      <t>资料来源：</t>
    </r>
    <r>
      <rPr>
        <b/>
        <sz val="14"/>
        <color theme="0"/>
        <rFont val="Arial"/>
        <family val="2"/>
      </rPr>
      <t>wind</t>
    </r>
    <r>
      <rPr>
        <b/>
        <sz val="14"/>
        <color theme="0"/>
        <rFont val="楷体_GB2312"/>
        <family val="3"/>
        <charset val="134"/>
      </rPr>
      <t>，华福证券研究所，以上信息来自公开资料整理，不构成任何投资建议</t>
    </r>
    <phoneticPr fontId="2" type="noConversion"/>
  </si>
  <si>
    <t>同通胀数据区</t>
    <phoneticPr fontId="2" type="noConversion"/>
  </si>
  <si>
    <t>较上月变化</t>
    <phoneticPr fontId="2" type="noConversion"/>
  </si>
  <si>
    <t>公共财政收入</t>
  </si>
  <si>
    <t>其中：中央财政收入</t>
    <phoneticPr fontId="2" type="noConversion"/>
  </si>
  <si>
    <t xml:space="preserve">      地方财政收入</t>
    <phoneticPr fontId="2" type="noConversion"/>
  </si>
  <si>
    <t>其中：税收收入</t>
    <phoneticPr fontId="2" type="noConversion"/>
  </si>
  <si>
    <t xml:space="preserve">      非税收入</t>
    <phoneticPr fontId="2" type="noConversion"/>
  </si>
  <si>
    <t>公共财政支出</t>
  </si>
  <si>
    <t>其中：中央财政支出</t>
  </si>
  <si>
    <t xml:space="preserve">      地方财政支出</t>
    <phoneticPr fontId="2" type="noConversion"/>
  </si>
  <si>
    <t>政府性基金收入</t>
    <phoneticPr fontId="2" type="noConversion"/>
  </si>
  <si>
    <t>其中:土地使用权出让收入</t>
    <phoneticPr fontId="2" type="noConversion"/>
  </si>
  <si>
    <t>政府性基金支出</t>
    <phoneticPr fontId="2" type="noConversion"/>
  </si>
  <si>
    <t>财政数据区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</si>
</sst>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89" formatCode="[&gt;0]&quot;↑ &quot;;[&lt;0]&quot;↓ &quot;;&quot;→&quot;"/>
  </numFmts>
  <fonts count="2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theme="1"/>
      <name val="Arial"/>
      <family val="2"/>
    </font>
    <font>
      <b/>
      <sz val="14"/>
      <color theme="1"/>
      <name val="楷体_GB2312"/>
      <family val="3"/>
      <charset val="134"/>
    </font>
    <font>
      <sz val="12"/>
      <name val="宋体"/>
      <family val="3"/>
      <charset val="134"/>
    </font>
    <font>
      <sz val="9"/>
      <color theme="1"/>
      <name val="Arial"/>
      <family val="2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楷体_GB2312"/>
      <family val="3"/>
      <charset val="134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楷体_GB2312"/>
      <family val="3"/>
      <charset val="134"/>
    </font>
    <font>
      <b/>
      <sz val="16"/>
      <color theme="1"/>
      <name val="黑体"/>
      <family val="3"/>
      <charset val="134"/>
    </font>
    <font>
      <sz val="16"/>
      <color theme="1"/>
      <name val="Arial"/>
      <family val="2"/>
    </font>
    <font>
      <sz val="11"/>
      <color theme="1"/>
      <name val="楷体"/>
      <family val="3"/>
      <charset val="134"/>
    </font>
    <font>
      <b/>
      <sz val="18"/>
      <color theme="0"/>
      <name val="楷体_GB2312"/>
      <family val="3"/>
      <charset val="134"/>
    </font>
    <font>
      <sz val="11"/>
      <color rgb="FFFF0000"/>
      <name val="Arial"/>
      <family val="2"/>
    </font>
    <font>
      <b/>
      <sz val="14"/>
      <name val="楷体_GB2312"/>
      <family val="3"/>
      <charset val="134"/>
    </font>
    <font>
      <b/>
      <sz val="12"/>
      <name val="楷体_GB2312"/>
      <family val="3"/>
      <charset val="134"/>
    </font>
    <font>
      <b/>
      <sz val="14"/>
      <color theme="0"/>
      <name val="楷体_GB2312"/>
      <family val="3"/>
      <charset val="134"/>
    </font>
    <font>
      <b/>
      <sz val="14"/>
      <color theme="0"/>
      <name val="Arial"/>
      <family val="2"/>
    </font>
    <font>
      <b/>
      <sz val="18"/>
      <name val="楷体_GB2312"/>
      <family val="3"/>
      <charset val="134"/>
    </font>
    <font>
      <sz val="18"/>
      <name val="楷体_GB2312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9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52">
    <xf numFmtId="0" fontId="0" fillId="0" borderId="0" xfId="0">
      <alignment vertical="center"/>
    </xf>
    <xf numFmtId="0" fontId="23" fillId="2" borderId="2" xfId="9" applyFont="1" applyFill="1" applyBorder="1">
      <alignment vertical="center"/>
    </xf>
    <xf numFmtId="0" fontId="11" fillId="2" borderId="1" xfId="0" applyFont="1" applyFill="1" applyBorder="1" applyAlignment="1"/>
    <xf numFmtId="0" fontId="11" fillId="2" borderId="3" xfId="0" applyFont="1" applyFill="1" applyBorder="1" applyAlignment="1"/>
    <xf numFmtId="0" fontId="0" fillId="3" borderId="0" xfId="0" applyFill="1">
      <alignment vertical="center"/>
    </xf>
    <xf numFmtId="0" fontId="12" fillId="3" borderId="2" xfId="9" applyFont="1" applyFill="1" applyBorder="1" applyAlignment="1">
      <alignment horizontal="left" vertical="center"/>
    </xf>
    <xf numFmtId="0" fontId="12" fillId="3" borderId="2" xfId="9" applyFont="1" applyFill="1" applyBorder="1" applyAlignment="1">
      <alignment horizontal="center" vertical="center"/>
    </xf>
    <xf numFmtId="0" fontId="12" fillId="3" borderId="1" xfId="9" applyFont="1" applyFill="1" applyBorder="1" applyAlignment="1">
      <alignment horizontal="center" vertical="center"/>
    </xf>
    <xf numFmtId="14" fontId="0" fillId="3" borderId="0" xfId="0" applyNumberFormat="1" applyFill="1">
      <alignment vertical="center"/>
    </xf>
    <xf numFmtId="0" fontId="14" fillId="3" borderId="13" xfId="0" applyFont="1" applyFill="1" applyBorder="1" applyAlignment="1">
      <alignment horizontal="left" vertical="center"/>
    </xf>
    <xf numFmtId="189" fontId="16" fillId="3" borderId="0" xfId="0" applyNumberFormat="1" applyFont="1" applyFill="1" applyAlignment="1">
      <alignment horizontal="center" vertical="center"/>
    </xf>
    <xf numFmtId="176" fontId="17" fillId="3" borderId="0" xfId="0" applyNumberFormat="1" applyFont="1" applyFill="1" applyAlignment="1">
      <alignment horizontal="center" vertical="center"/>
    </xf>
    <xf numFmtId="0" fontId="15" fillId="3" borderId="13" xfId="0" applyFont="1" applyFill="1" applyBorder="1" applyAlignment="1">
      <alignment horizontal="left" vertical="center" indent="2"/>
    </xf>
    <xf numFmtId="0" fontId="15" fillId="3" borderId="14" xfId="0" applyFont="1" applyFill="1" applyBorder="1" applyAlignment="1">
      <alignment horizontal="left" vertical="center" indent="2"/>
    </xf>
    <xf numFmtId="189" fontId="16" fillId="3" borderId="10" xfId="0" applyNumberFormat="1" applyFont="1" applyFill="1" applyBorder="1" applyAlignment="1">
      <alignment horizontal="center" vertical="center"/>
    </xf>
    <xf numFmtId="176" fontId="17" fillId="3" borderId="8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left" vertical="center"/>
    </xf>
    <xf numFmtId="189" fontId="16" fillId="3" borderId="8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/>
    <xf numFmtId="0" fontId="4" fillId="3" borderId="0" xfId="0" applyFont="1" applyFill="1" applyAlignment="1"/>
    <xf numFmtId="0" fontId="10" fillId="3" borderId="0" xfId="0" applyFont="1" applyFill="1">
      <alignment vertical="center"/>
    </xf>
    <xf numFmtId="0" fontId="11" fillId="3" borderId="0" xfId="0" applyFont="1" applyFill="1" applyAlignment="1"/>
    <xf numFmtId="0" fontId="11" fillId="3" borderId="11" xfId="0" applyFont="1" applyFill="1" applyBorder="1" applyAlignment="1"/>
    <xf numFmtId="0" fontId="4" fillId="3" borderId="7" xfId="0" applyFont="1" applyFill="1" applyBorder="1" applyAlignment="1"/>
    <xf numFmtId="0" fontId="11" fillId="3" borderId="7" xfId="0" applyFont="1" applyFill="1" applyBorder="1" applyAlignment="1"/>
    <xf numFmtId="0" fontId="11" fillId="3" borderId="10" xfId="0" applyFont="1" applyFill="1" applyBorder="1" applyAlignment="1"/>
    <xf numFmtId="0" fontId="11" fillId="3" borderId="8" xfId="0" applyFont="1" applyFill="1" applyBorder="1" applyAlignment="1"/>
    <xf numFmtId="0" fontId="11" fillId="3" borderId="9" xfId="0" applyFont="1" applyFill="1" applyBorder="1" applyAlignment="1"/>
    <xf numFmtId="0" fontId="18" fillId="3" borderId="0" xfId="0" applyFont="1" applyFill="1" applyAlignment="1"/>
    <xf numFmtId="0" fontId="19" fillId="3" borderId="11" xfId="0" applyFont="1" applyFill="1" applyBorder="1">
      <alignment vertical="center"/>
    </xf>
    <xf numFmtId="0" fontId="20" fillId="3" borderId="0" xfId="0" applyFont="1" applyFill="1" applyAlignment="1"/>
    <xf numFmtId="0" fontId="5" fillId="3" borderId="11" xfId="0" applyFont="1" applyFill="1" applyBorder="1">
      <alignment vertical="center"/>
    </xf>
    <xf numFmtId="0" fontId="21" fillId="3" borderId="0" xfId="9" applyFont="1" applyFill="1">
      <alignment vertical="center"/>
    </xf>
    <xf numFmtId="0" fontId="22" fillId="3" borderId="0" xfId="9" applyFont="1" applyFill="1">
      <alignment vertical="center"/>
    </xf>
    <xf numFmtId="0" fontId="7" fillId="3" borderId="0" xfId="0" applyFont="1" applyFill="1" applyAlignment="1"/>
    <xf numFmtId="0" fontId="11" fillId="3" borderId="5" xfId="0" applyFont="1" applyFill="1" applyBorder="1" applyAlignment="1"/>
    <xf numFmtId="0" fontId="11" fillId="3" borderId="4" xfId="0" applyFont="1" applyFill="1" applyBorder="1" applyAlignment="1"/>
    <xf numFmtId="0" fontId="11" fillId="3" borderId="6" xfId="0" applyFont="1" applyFill="1" applyBorder="1" applyAlignment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>
      <alignment vertical="center"/>
    </xf>
    <xf numFmtId="0" fontId="25" fillId="4" borderId="12" xfId="9" applyFont="1" applyFill="1" applyBorder="1" applyAlignment="1">
      <alignment vertical="center"/>
    </xf>
    <xf numFmtId="2" fontId="0" fillId="4" borderId="0" xfId="0" applyNumberFormat="1" applyFill="1">
      <alignment vertical="center"/>
    </xf>
    <xf numFmtId="0" fontId="26" fillId="4" borderId="13" xfId="9" applyFont="1" applyFill="1" applyBorder="1" applyAlignment="1">
      <alignment vertical="center"/>
    </xf>
    <xf numFmtId="0" fontId="26" fillId="4" borderId="14" xfId="9" applyFont="1" applyFill="1" applyBorder="1" applyAlignment="1">
      <alignment vertical="center"/>
    </xf>
    <xf numFmtId="0" fontId="25" fillId="4" borderId="13" xfId="9" applyFont="1" applyFill="1" applyBorder="1" applyAlignment="1">
      <alignment vertical="center"/>
    </xf>
    <xf numFmtId="0" fontId="25" fillId="4" borderId="14" xfId="9" applyFont="1" applyFill="1" applyBorder="1" applyAlignment="1">
      <alignment vertical="center"/>
    </xf>
    <xf numFmtId="0" fontId="3" fillId="4" borderId="0" xfId="0" applyFont="1" applyFill="1">
      <alignment vertical="center"/>
    </xf>
    <xf numFmtId="177" fontId="0" fillId="4" borderId="0" xfId="0" applyNumberFormat="1" applyFill="1">
      <alignment vertical="center"/>
    </xf>
  </cellXfs>
  <cellStyles count="11">
    <cellStyle name="百分比 2" xfId="4" xr:uid="{4D72FAF1-9D4D-4070-9E25-D26EDFBE9FC1}"/>
    <cellStyle name="百分比 2 2" xfId="8" xr:uid="{DDA37BA9-4F70-443F-AA6F-45327AED5B90}"/>
    <cellStyle name="常规" xfId="0" builtinId="0"/>
    <cellStyle name="常规 2" xfId="1" xr:uid="{0BD65DAA-A395-4D8A-9956-E66138EFD793}"/>
    <cellStyle name="常规 2 2" xfId="9" xr:uid="{D9D11025-1CE4-4169-9948-6153703CDC68}"/>
    <cellStyle name="常规 3" xfId="2" xr:uid="{8699CA8A-FB0C-4668-A262-A55E74B5353A}"/>
    <cellStyle name="常规 3 2" xfId="3" xr:uid="{92FC090D-CEA9-4E6A-A8F9-005B72B9018F}"/>
    <cellStyle name="常规 3 2 2" xfId="7" xr:uid="{95135DEB-0EE4-49B5-860F-CFC09903C0B4}"/>
    <cellStyle name="常规 4" xfId="10" xr:uid="{700D5CC7-A606-4F4A-8637-B01378F5EBCB}"/>
    <cellStyle name="常规 6" xfId="5" xr:uid="{8207E1D3-5ADB-4463-8E1E-3515BE6D9D91}"/>
    <cellStyle name="常规 8" xfId="6" xr:uid="{2C1C8B34-6357-4CE6-A8C9-5A5378AD45FC}"/>
  </cellStyles>
  <dxfs count="6">
    <dxf>
      <font>
        <color rgb="FFD99D25"/>
      </font>
    </dxf>
    <dxf>
      <font>
        <color rgb="FFFF0000"/>
      </font>
    </dxf>
    <dxf>
      <font>
        <color rgb="FF00B050"/>
      </font>
    </dxf>
    <dxf>
      <font>
        <color rgb="FFD99D25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altLang="zh-CN" sz="1920" b="1"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rPr>
              <a:t>CPI</a:t>
            </a:r>
            <a:r>
              <a:rPr lang="zh-CN" altLang="en-US" sz="1920" b="1"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rPr>
              <a:t>环比贡献拆分（</a:t>
            </a:r>
            <a:r>
              <a:rPr lang="en-US" altLang="zh-CN" sz="1920" b="1"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rPr>
              <a:t>%</a:t>
            </a:r>
            <a:r>
              <a:rPr lang="zh-CN" altLang="en-US" sz="1920" b="1"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rPr>
              <a:t>）</a:t>
            </a:r>
          </a:p>
        </c:rich>
      </c:tx>
      <c:layout>
        <c:manualLayout>
          <c:xMode val="edge"/>
          <c:yMode val="edge"/>
          <c:x val="0.39569063837165158"/>
          <c:y val="4.48918783495481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'[1]CPI-快报图2'!$AN$4</c:f>
              <c:strCache>
                <c:ptCount val="1"/>
                <c:pt idx="0">
                  <c:v>食品烟酒</c:v>
                </c:pt>
              </c:strCache>
            </c:strRef>
          </c:tx>
          <c:spPr>
            <a:solidFill>
              <a:srgbClr val="B34845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'[1]CPI-快报图2'!$AN$5:$AN$201</c:f>
              <c:numCache>
                <c:formatCode>General</c:formatCode>
                <c:ptCount val="1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C88-B849-A84E332D21F0}"/>
            </c:ext>
          </c:extLst>
        </c:ser>
        <c:ser>
          <c:idx val="4"/>
          <c:order val="1"/>
          <c:tx>
            <c:strRef>
              <c:f>'[1]CPI-快报图2'!$AR$4</c:f>
              <c:strCache>
                <c:ptCount val="1"/>
                <c:pt idx="0">
                  <c:v>交通和通信</c:v>
                </c:pt>
              </c:strCache>
            </c:strRef>
          </c:tx>
          <c:spPr>
            <a:solidFill>
              <a:srgbClr val="D99D25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'[1]CPI-快报图2'!$AR$5:$AR$201</c:f>
              <c:numCache>
                <c:formatCode>General</c:formatCode>
                <c:ptCount val="197"/>
                <c:pt idx="0">
                  <c:v>0.12150000000000001</c:v>
                </c:pt>
                <c:pt idx="1">
                  <c:v>0.14850000000000002</c:v>
                </c:pt>
                <c:pt idx="2">
                  <c:v>0.17550000000000002</c:v>
                </c:pt>
                <c:pt idx="3">
                  <c:v>5.4000000000000006E-2</c:v>
                </c:pt>
                <c:pt idx="4">
                  <c:v>5.4000000000000006E-2</c:v>
                </c:pt>
                <c:pt idx="5">
                  <c:v>1.3500000000000002E-2</c:v>
                </c:pt>
                <c:pt idx="6">
                  <c:v>0.20250000000000001</c:v>
                </c:pt>
                <c:pt idx="7">
                  <c:v>-8.1000000000000003E-2</c:v>
                </c:pt>
                <c:pt idx="8">
                  <c:v>-2.7000000000000003E-2</c:v>
                </c:pt>
                <c:pt idx="9">
                  <c:v>0.13500000000000001</c:v>
                </c:pt>
                <c:pt idx="10">
                  <c:v>4.0500000000000001E-2</c:v>
                </c:pt>
                <c:pt idx="11">
                  <c:v>-0.17550000000000002</c:v>
                </c:pt>
                <c:pt idx="12">
                  <c:v>0.14850000000000002</c:v>
                </c:pt>
                <c:pt idx="13">
                  <c:v>0.189</c:v>
                </c:pt>
                <c:pt idx="14">
                  <c:v>0.21600000000000003</c:v>
                </c:pt>
                <c:pt idx="15">
                  <c:v>0.14850000000000002</c:v>
                </c:pt>
                <c:pt idx="16">
                  <c:v>1.3500000000000002E-2</c:v>
                </c:pt>
                <c:pt idx="17">
                  <c:v>0.29700000000000004</c:v>
                </c:pt>
                <c:pt idx="18">
                  <c:v>-9.4500000000000001E-2</c:v>
                </c:pt>
                <c:pt idx="19">
                  <c:v>-0.22950000000000001</c:v>
                </c:pt>
                <c:pt idx="20">
                  <c:v>-8.1000000000000003E-2</c:v>
                </c:pt>
                <c:pt idx="21">
                  <c:v>-5.4000000000000006E-2</c:v>
                </c:pt>
                <c:pt idx="22">
                  <c:v>1.3500000000000002E-2</c:v>
                </c:pt>
                <c:pt idx="23">
                  <c:v>-0.189</c:v>
                </c:pt>
                <c:pt idx="24">
                  <c:v>2.7000000000000003E-2</c:v>
                </c:pt>
                <c:pt idx="25">
                  <c:v>-6.7500000000000004E-2</c:v>
                </c:pt>
                <c:pt idx="26">
                  <c:v>-5.4000000000000006E-2</c:v>
                </c:pt>
                <c:pt idx="27">
                  <c:v>-5.4000000000000006E-2</c:v>
                </c:pt>
                <c:pt idx="28">
                  <c:v>-8.1000000000000003E-2</c:v>
                </c:pt>
                <c:pt idx="29">
                  <c:v>-6.7500000000000004E-2</c:v>
                </c:pt>
                <c:pt idx="30">
                  <c:v>0.16200000000000001</c:v>
                </c:pt>
                <c:pt idx="31">
                  <c:v>0.13500000000000001</c:v>
                </c:pt>
                <c:pt idx="32">
                  <c:v>1.3500000000000002E-2</c:v>
                </c:pt>
                <c:pt idx="33">
                  <c:v>0</c:v>
                </c:pt>
                <c:pt idx="34">
                  <c:v>-0.189</c:v>
                </c:pt>
                <c:pt idx="35">
                  <c:v>-0.16200000000000001</c:v>
                </c:pt>
                <c:pt idx="36">
                  <c:v>1.3500000000000002E-2</c:v>
                </c:pt>
                <c:pt idx="37">
                  <c:v>0.21600000000000003</c:v>
                </c:pt>
                <c:pt idx="38">
                  <c:v>-0.189</c:v>
                </c:pt>
                <c:pt idx="39">
                  <c:v>0.13500000000000001</c:v>
                </c:pt>
                <c:pt idx="40">
                  <c:v>-0.10800000000000001</c:v>
                </c:pt>
                <c:pt idx="41">
                  <c:v>-8.1000000000000003E-2</c:v>
                </c:pt>
                <c:pt idx="42">
                  <c:v>0.12150000000000001</c:v>
                </c:pt>
                <c:pt idx="43">
                  <c:v>-0.14850000000000002</c:v>
                </c:pt>
                <c:pt idx="44">
                  <c:v>-0.17550000000000002</c:v>
                </c:pt>
                <c:pt idx="45">
                  <c:v>-9.4500000000000001E-2</c:v>
                </c:pt>
                <c:pt idx="46">
                  <c:v>-1.3500000000000002E-2</c:v>
                </c:pt>
                <c:pt idx="47">
                  <c:v>4.0500000000000001E-2</c:v>
                </c:pt>
                <c:pt idx="48">
                  <c:v>0.22950000000000001</c:v>
                </c:pt>
                <c:pt idx="49">
                  <c:v>-5.4000000000000006E-2</c:v>
                </c:pt>
                <c:pt idx="50">
                  <c:v>-0.189</c:v>
                </c:pt>
                <c:pt idx="51">
                  <c:v>-4.0500000000000001E-2</c:v>
                </c:pt>
                <c:pt idx="52">
                  <c:v>-0.16200000000000001</c:v>
                </c:pt>
                <c:pt idx="53">
                  <c:v>0</c:v>
                </c:pt>
                <c:pt idx="54">
                  <c:v>0.20250000000000001</c:v>
                </c:pt>
                <c:pt idx="55">
                  <c:v>-4.0500000000000001E-2</c:v>
                </c:pt>
                <c:pt idx="56">
                  <c:v>-0.12150000000000001</c:v>
                </c:pt>
                <c:pt idx="57">
                  <c:v>-2.7000000000000003E-2</c:v>
                </c:pt>
                <c:pt idx="58">
                  <c:v>-0.12150000000000001</c:v>
                </c:pt>
                <c:pt idx="59">
                  <c:v>0</c:v>
                </c:pt>
                <c:pt idx="60">
                  <c:v>1.3500000000000002E-2</c:v>
                </c:pt>
                <c:pt idx="61">
                  <c:v>0.29700000000000004</c:v>
                </c:pt>
                <c:pt idx="62">
                  <c:v>5.4000000000000006E-2</c:v>
                </c:pt>
                <c:pt idx="63">
                  <c:v>0.47250000000000003</c:v>
                </c:pt>
                <c:pt idx="64">
                  <c:v>-4.0500000000000001E-2</c:v>
                </c:pt>
                <c:pt idx="65">
                  <c:v>-0.17550000000000002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6-4C88-B849-A84E332D21F0}"/>
            </c:ext>
          </c:extLst>
        </c:ser>
        <c:ser>
          <c:idx val="2"/>
          <c:order val="2"/>
          <c:tx>
            <c:strRef>
              <c:f>'[1]CPI-快报图2'!$AP$4</c:f>
              <c:strCache>
                <c:ptCount val="1"/>
                <c:pt idx="0">
                  <c:v>居住</c:v>
                </c:pt>
              </c:strCache>
            </c:strRef>
          </c:tx>
          <c:spPr>
            <a:solidFill>
              <a:srgbClr val="6995A9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'[1]CPI-快报图2'!$AP$5:$AP$201</c:f>
              <c:numCache>
                <c:formatCode>General</c:formatCode>
                <c:ptCount val="197"/>
                <c:pt idx="0">
                  <c:v>2.3400000000000001E-2</c:v>
                </c:pt>
                <c:pt idx="1">
                  <c:v>2.3400000000000001E-2</c:v>
                </c:pt>
                <c:pt idx="2">
                  <c:v>4.6800000000000001E-2</c:v>
                </c:pt>
                <c:pt idx="3">
                  <c:v>2.3400000000000001E-2</c:v>
                </c:pt>
                <c:pt idx="4">
                  <c:v>2.3400000000000001E-2</c:v>
                </c:pt>
                <c:pt idx="5">
                  <c:v>2.3400000000000001E-2</c:v>
                </c:pt>
                <c:pt idx="6">
                  <c:v>4.6800000000000001E-2</c:v>
                </c:pt>
                <c:pt idx="7">
                  <c:v>2.3400000000000001E-2</c:v>
                </c:pt>
                <c:pt idx="8">
                  <c:v>4.6800000000000001E-2</c:v>
                </c:pt>
                <c:pt idx="9">
                  <c:v>9.3600000000000003E-2</c:v>
                </c:pt>
                <c:pt idx="10">
                  <c:v>0</c:v>
                </c:pt>
                <c:pt idx="11">
                  <c:v>-2.3400000000000001E-2</c:v>
                </c:pt>
                <c:pt idx="12">
                  <c:v>0</c:v>
                </c:pt>
                <c:pt idx="13">
                  <c:v>2.3400000000000001E-2</c:v>
                </c:pt>
                <c:pt idx="14">
                  <c:v>2.3400000000000001E-2</c:v>
                </c:pt>
                <c:pt idx="15">
                  <c:v>-2.3400000000000001E-2</c:v>
                </c:pt>
                <c:pt idx="16">
                  <c:v>-2.3400000000000001E-2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-2.3400000000000001E-2</c:v>
                </c:pt>
                <c:pt idx="21">
                  <c:v>-2.3400000000000001E-2</c:v>
                </c:pt>
                <c:pt idx="22">
                  <c:v>0</c:v>
                </c:pt>
                <c:pt idx="23">
                  <c:v>-2.3400000000000001E-2</c:v>
                </c:pt>
                <c:pt idx="24">
                  <c:v>0</c:v>
                </c:pt>
                <c:pt idx="25">
                  <c:v>2.3400000000000001E-2</c:v>
                </c:pt>
                <c:pt idx="26">
                  <c:v>0</c:v>
                </c:pt>
                <c:pt idx="27">
                  <c:v>0</c:v>
                </c:pt>
                <c:pt idx="28">
                  <c:v>-2.3400000000000001E-2</c:v>
                </c:pt>
                <c:pt idx="29">
                  <c:v>2.3400000000000001E-2</c:v>
                </c:pt>
                <c:pt idx="30">
                  <c:v>2.3400000000000001E-2</c:v>
                </c:pt>
                <c:pt idx="31">
                  <c:v>2.3400000000000001E-2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2.3400000000000001E-2</c:v>
                </c:pt>
                <c:pt idx="39">
                  <c:v>0</c:v>
                </c:pt>
                <c:pt idx="40">
                  <c:v>-2.3400000000000001E-2</c:v>
                </c:pt>
                <c:pt idx="41">
                  <c:v>2.3400000000000001E-2</c:v>
                </c:pt>
                <c:pt idx="42">
                  <c:v>0</c:v>
                </c:pt>
                <c:pt idx="43">
                  <c:v>0</c:v>
                </c:pt>
                <c:pt idx="44">
                  <c:v>-2.3400000000000001E-2</c:v>
                </c:pt>
                <c:pt idx="45">
                  <c:v>0</c:v>
                </c:pt>
                <c:pt idx="46">
                  <c:v>0</c:v>
                </c:pt>
                <c:pt idx="47">
                  <c:v>2.3400000000000001E-2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2.3400000000000001E-2</c:v>
                </c:pt>
                <c:pt idx="55">
                  <c:v>0</c:v>
                </c:pt>
                <c:pt idx="56">
                  <c:v>0</c:v>
                </c:pt>
                <c:pt idx="57">
                  <c:v>-2.3400000000000001E-2</c:v>
                </c:pt>
                <c:pt idx="58">
                  <c:v>-2.3400000000000001E-2</c:v>
                </c:pt>
                <c:pt idx="59">
                  <c:v>-2.3400000000000001E-2</c:v>
                </c:pt>
                <c:pt idx="60">
                  <c:v>0</c:v>
                </c:pt>
                <c:pt idx="61">
                  <c:v>0</c:v>
                </c:pt>
                <c:pt idx="62">
                  <c:v>2.3400000000000001E-2</c:v>
                </c:pt>
                <c:pt idx="63">
                  <c:v>-2.3400000000000001E-2</c:v>
                </c:pt>
                <c:pt idx="64">
                  <c:v>-2.3400000000000001E-2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C6-4C88-B849-A84E332D21F0}"/>
            </c:ext>
          </c:extLst>
        </c:ser>
        <c:ser>
          <c:idx val="6"/>
          <c:order val="3"/>
          <c:tx>
            <c:strRef>
              <c:f>'[1]CPI-快报图2'!$AT$4</c:f>
              <c:strCache>
                <c:ptCount val="1"/>
                <c:pt idx="0">
                  <c:v>医疗保健</c:v>
                </c:pt>
              </c:strCache>
            </c:strRef>
          </c:tx>
          <c:spPr>
            <a:solidFill>
              <a:srgbClr val="818181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'[1]CPI-快报图2'!$AT$5:$AT$201</c:f>
              <c:numCache>
                <c:formatCode>General</c:formatCode>
                <c:ptCount val="197"/>
                <c:pt idx="0">
                  <c:v>8.5000000000000006E-3</c:v>
                </c:pt>
                <c:pt idx="1">
                  <c:v>0</c:v>
                </c:pt>
                <c:pt idx="2">
                  <c:v>0</c:v>
                </c:pt>
                <c:pt idx="3">
                  <c:v>8.5000000000000006E-3</c:v>
                </c:pt>
                <c:pt idx="4">
                  <c:v>0</c:v>
                </c:pt>
                <c:pt idx="5">
                  <c:v>0</c:v>
                </c:pt>
                <c:pt idx="6">
                  <c:v>8.5000000000000006E-3</c:v>
                </c:pt>
                <c:pt idx="7">
                  <c:v>0</c:v>
                </c:pt>
                <c:pt idx="8">
                  <c:v>0</c:v>
                </c:pt>
                <c:pt idx="9">
                  <c:v>1.7000000000000001E-2</c:v>
                </c:pt>
                <c:pt idx="10">
                  <c:v>0</c:v>
                </c:pt>
                <c:pt idx="11">
                  <c:v>0</c:v>
                </c:pt>
                <c:pt idx="12">
                  <c:v>8.5000000000000006E-3</c:v>
                </c:pt>
                <c:pt idx="13">
                  <c:v>0</c:v>
                </c:pt>
                <c:pt idx="14">
                  <c:v>8.5000000000000006E-3</c:v>
                </c:pt>
                <c:pt idx="15">
                  <c:v>8.5000000000000006E-3</c:v>
                </c:pt>
                <c:pt idx="16">
                  <c:v>8.5000000000000006E-3</c:v>
                </c:pt>
                <c:pt idx="17">
                  <c:v>0</c:v>
                </c:pt>
                <c:pt idx="18">
                  <c:v>0</c:v>
                </c:pt>
                <c:pt idx="19">
                  <c:v>8.5000000000000006E-3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2.5500000000000002E-2</c:v>
                </c:pt>
                <c:pt idx="25">
                  <c:v>1.7000000000000001E-2</c:v>
                </c:pt>
                <c:pt idx="26">
                  <c:v>8.5000000000000006E-3</c:v>
                </c:pt>
                <c:pt idx="27">
                  <c:v>8.5000000000000006E-3</c:v>
                </c:pt>
                <c:pt idx="28">
                  <c:v>8.5000000000000006E-3</c:v>
                </c:pt>
                <c:pt idx="29">
                  <c:v>8.5000000000000006E-3</c:v>
                </c:pt>
                <c:pt idx="30">
                  <c:v>8.5000000000000006E-3</c:v>
                </c:pt>
                <c:pt idx="31">
                  <c:v>8.5000000000000006E-3</c:v>
                </c:pt>
                <c:pt idx="32">
                  <c:v>8.5000000000000006E-3</c:v>
                </c:pt>
                <c:pt idx="33">
                  <c:v>0</c:v>
                </c:pt>
                <c:pt idx="34">
                  <c:v>0</c:v>
                </c:pt>
                <c:pt idx="35">
                  <c:v>8.5000000000000006E-3</c:v>
                </c:pt>
                <c:pt idx="36">
                  <c:v>8.5000000000000006E-3</c:v>
                </c:pt>
                <c:pt idx="37">
                  <c:v>3.4000000000000002E-2</c:v>
                </c:pt>
                <c:pt idx="38">
                  <c:v>8.5000000000000006E-3</c:v>
                </c:pt>
                <c:pt idx="39">
                  <c:v>1.7000000000000001E-2</c:v>
                </c:pt>
                <c:pt idx="40">
                  <c:v>0</c:v>
                </c:pt>
                <c:pt idx="41">
                  <c:v>8.5000000000000006E-3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-8.5000000000000006E-3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1.7000000000000001E-2</c:v>
                </c:pt>
                <c:pt idx="52">
                  <c:v>8.5000000000000006E-3</c:v>
                </c:pt>
                <c:pt idx="53">
                  <c:v>8.5000000000000006E-3</c:v>
                </c:pt>
                <c:pt idx="54">
                  <c:v>1.7000000000000001E-2</c:v>
                </c:pt>
                <c:pt idx="55">
                  <c:v>2.5500000000000002E-2</c:v>
                </c:pt>
                <c:pt idx="56">
                  <c:v>1.7000000000000001E-2</c:v>
                </c:pt>
                <c:pt idx="57">
                  <c:v>2.5500000000000002E-2</c:v>
                </c:pt>
                <c:pt idx="58">
                  <c:v>8.5000000000000006E-3</c:v>
                </c:pt>
                <c:pt idx="59">
                  <c:v>8.5000000000000006E-3</c:v>
                </c:pt>
                <c:pt idx="60">
                  <c:v>2.5500000000000002E-2</c:v>
                </c:pt>
                <c:pt idx="61">
                  <c:v>8.5000000000000006E-3</c:v>
                </c:pt>
                <c:pt idx="62">
                  <c:v>8.5000000000000006E-3</c:v>
                </c:pt>
                <c:pt idx="63">
                  <c:v>2.5500000000000002E-2</c:v>
                </c:pt>
                <c:pt idx="64">
                  <c:v>0</c:v>
                </c:pt>
                <c:pt idx="65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C6-4C88-B849-A84E332D21F0}"/>
            </c:ext>
          </c:extLst>
        </c:ser>
        <c:ser>
          <c:idx val="5"/>
          <c:order val="4"/>
          <c:tx>
            <c:strRef>
              <c:f>'[1]CPI-快报图2'!$AS$4</c:f>
              <c:strCache>
                <c:ptCount val="1"/>
                <c:pt idx="0">
                  <c:v>教育文化和娱乐</c:v>
                </c:pt>
              </c:strCache>
            </c:strRef>
          </c:tx>
          <c:spPr>
            <a:solidFill>
              <a:srgbClr val="FFAA96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'[1]CPI-快报图2'!$AS$5:$AS$201</c:f>
              <c:numCache>
                <c:formatCode>General</c:formatCode>
                <c:ptCount val="197"/>
                <c:pt idx="0">
                  <c:v>4.48E-2</c:v>
                </c:pt>
                <c:pt idx="1">
                  <c:v>8.9599999999999999E-2</c:v>
                </c:pt>
                <c:pt idx="2">
                  <c:v>-4.48E-2</c:v>
                </c:pt>
                <c:pt idx="3">
                  <c:v>7.8399999999999984E-2</c:v>
                </c:pt>
                <c:pt idx="4">
                  <c:v>3.3599999999999998E-2</c:v>
                </c:pt>
                <c:pt idx="5">
                  <c:v>-2.24E-2</c:v>
                </c:pt>
                <c:pt idx="6">
                  <c:v>0.11199999999999999</c:v>
                </c:pt>
                <c:pt idx="7">
                  <c:v>0</c:v>
                </c:pt>
                <c:pt idx="8">
                  <c:v>7.8399999999999984E-2</c:v>
                </c:pt>
                <c:pt idx="9">
                  <c:v>2.24E-2</c:v>
                </c:pt>
                <c:pt idx="10">
                  <c:v>-5.5999999999999994E-2</c:v>
                </c:pt>
                <c:pt idx="11">
                  <c:v>0</c:v>
                </c:pt>
                <c:pt idx="12">
                  <c:v>2.24E-2</c:v>
                </c:pt>
                <c:pt idx="13">
                  <c:v>4.48E-2</c:v>
                </c:pt>
                <c:pt idx="14">
                  <c:v>-3.3599999999999998E-2</c:v>
                </c:pt>
                <c:pt idx="15">
                  <c:v>1.12E-2</c:v>
                </c:pt>
                <c:pt idx="16">
                  <c:v>1.12E-2</c:v>
                </c:pt>
                <c:pt idx="17">
                  <c:v>1.12E-2</c:v>
                </c:pt>
                <c:pt idx="18">
                  <c:v>5.5999999999999994E-2</c:v>
                </c:pt>
                <c:pt idx="19">
                  <c:v>1.12E-2</c:v>
                </c:pt>
                <c:pt idx="20">
                  <c:v>4.48E-2</c:v>
                </c:pt>
                <c:pt idx="21">
                  <c:v>2.24E-2</c:v>
                </c:pt>
                <c:pt idx="22">
                  <c:v>-4.48E-2</c:v>
                </c:pt>
                <c:pt idx="23">
                  <c:v>1.12E-2</c:v>
                </c:pt>
                <c:pt idx="24">
                  <c:v>0.14559999999999998</c:v>
                </c:pt>
                <c:pt idx="25">
                  <c:v>-8.9599999999999999E-2</c:v>
                </c:pt>
                <c:pt idx="26">
                  <c:v>-1.12E-2</c:v>
                </c:pt>
                <c:pt idx="27">
                  <c:v>5.5999999999999994E-2</c:v>
                </c:pt>
                <c:pt idx="28">
                  <c:v>-1.12E-2</c:v>
                </c:pt>
                <c:pt idx="29">
                  <c:v>-2.24E-2</c:v>
                </c:pt>
                <c:pt idx="30">
                  <c:v>0.14559999999999998</c:v>
                </c:pt>
                <c:pt idx="31">
                  <c:v>2.24E-2</c:v>
                </c:pt>
                <c:pt idx="32">
                  <c:v>4.48E-2</c:v>
                </c:pt>
                <c:pt idx="33">
                  <c:v>0</c:v>
                </c:pt>
                <c:pt idx="34">
                  <c:v>-0.10079999999999999</c:v>
                </c:pt>
                <c:pt idx="35">
                  <c:v>1.12E-2</c:v>
                </c:pt>
                <c:pt idx="36">
                  <c:v>7.8399999999999984E-2</c:v>
                </c:pt>
                <c:pt idx="37">
                  <c:v>0.19039999999999999</c:v>
                </c:pt>
                <c:pt idx="38">
                  <c:v>-0.23519999999999999</c:v>
                </c:pt>
                <c:pt idx="39">
                  <c:v>5.5999999999999994E-2</c:v>
                </c:pt>
                <c:pt idx="40">
                  <c:v>-1.12E-2</c:v>
                </c:pt>
                <c:pt idx="41">
                  <c:v>-2.24E-2</c:v>
                </c:pt>
                <c:pt idx="42">
                  <c:v>0.14559999999999998</c:v>
                </c:pt>
                <c:pt idx="43">
                  <c:v>-1.12E-2</c:v>
                </c:pt>
                <c:pt idx="44">
                  <c:v>-3.3599999999999998E-2</c:v>
                </c:pt>
                <c:pt idx="45">
                  <c:v>2.24E-2</c:v>
                </c:pt>
                <c:pt idx="46">
                  <c:v>-7.8399999999999984E-2</c:v>
                </c:pt>
                <c:pt idx="47">
                  <c:v>0</c:v>
                </c:pt>
                <c:pt idx="48">
                  <c:v>0.16799999999999998</c:v>
                </c:pt>
                <c:pt idx="49">
                  <c:v>-5.5999999999999994E-2</c:v>
                </c:pt>
                <c:pt idx="50">
                  <c:v>-8.9599999999999999E-2</c:v>
                </c:pt>
                <c:pt idx="51">
                  <c:v>4.48E-2</c:v>
                </c:pt>
                <c:pt idx="52">
                  <c:v>1.12E-2</c:v>
                </c:pt>
                <c:pt idx="53">
                  <c:v>-1.12E-2</c:v>
                </c:pt>
                <c:pt idx="54">
                  <c:v>0.14559999999999998</c:v>
                </c:pt>
                <c:pt idx="55">
                  <c:v>-1.12E-2</c:v>
                </c:pt>
                <c:pt idx="56">
                  <c:v>-4.48E-2</c:v>
                </c:pt>
                <c:pt idx="57">
                  <c:v>3.3599999999999998E-2</c:v>
                </c:pt>
                <c:pt idx="58">
                  <c:v>-8.9599999999999999E-2</c:v>
                </c:pt>
                <c:pt idx="59">
                  <c:v>1.12E-2</c:v>
                </c:pt>
                <c:pt idx="60">
                  <c:v>3.3599999999999998E-2</c:v>
                </c:pt>
                <c:pt idx="61">
                  <c:v>0.1792</c:v>
                </c:pt>
                <c:pt idx="62">
                  <c:v>-0.1792</c:v>
                </c:pt>
                <c:pt idx="63">
                  <c:v>5.5999999999999994E-2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C6-4C88-B849-A84E332D21F0}"/>
            </c:ext>
          </c:extLst>
        </c:ser>
        <c:ser>
          <c:idx val="3"/>
          <c:order val="5"/>
          <c:tx>
            <c:strRef>
              <c:f>'[1]CPI-快报图2'!$AQ$4</c:f>
              <c:strCache>
                <c:ptCount val="1"/>
                <c:pt idx="0">
                  <c:v>生活用品及服务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'[1]CPI-快报图2'!$AQ$5:$AQ$201</c:f>
              <c:numCache>
                <c:formatCode>General</c:formatCode>
                <c:ptCount val="197"/>
                <c:pt idx="0">
                  <c:v>1.2400000000000001E-2</c:v>
                </c:pt>
                <c:pt idx="1">
                  <c:v>6.2000000000000006E-3</c:v>
                </c:pt>
                <c:pt idx="2">
                  <c:v>-6.2000000000000006E-3</c:v>
                </c:pt>
                <c:pt idx="3">
                  <c:v>1.8599999999999998E-2</c:v>
                </c:pt>
                <c:pt idx="4">
                  <c:v>-6.2000000000000006E-3</c:v>
                </c:pt>
                <c:pt idx="5">
                  <c:v>-1.2400000000000001E-2</c:v>
                </c:pt>
                <c:pt idx="6">
                  <c:v>2.4800000000000003E-2</c:v>
                </c:pt>
                <c:pt idx="7">
                  <c:v>6.2000000000000006E-3</c:v>
                </c:pt>
                <c:pt idx="8">
                  <c:v>-6.2000000000000006E-3</c:v>
                </c:pt>
                <c:pt idx="9">
                  <c:v>1.8599999999999998E-2</c:v>
                </c:pt>
                <c:pt idx="10">
                  <c:v>-2.4800000000000003E-2</c:v>
                </c:pt>
                <c:pt idx="11">
                  <c:v>1.8599999999999998E-2</c:v>
                </c:pt>
                <c:pt idx="12">
                  <c:v>-6.2000000000000006E-3</c:v>
                </c:pt>
                <c:pt idx="13">
                  <c:v>1.2400000000000001E-2</c:v>
                </c:pt>
                <c:pt idx="14">
                  <c:v>1.2400000000000001E-2</c:v>
                </c:pt>
                <c:pt idx="15">
                  <c:v>3.7199999999999997E-2</c:v>
                </c:pt>
                <c:pt idx="16">
                  <c:v>1.2400000000000001E-2</c:v>
                </c:pt>
                <c:pt idx="17">
                  <c:v>-1.2400000000000001E-2</c:v>
                </c:pt>
                <c:pt idx="18">
                  <c:v>1.8599999999999998E-2</c:v>
                </c:pt>
                <c:pt idx="19">
                  <c:v>0</c:v>
                </c:pt>
                <c:pt idx="20">
                  <c:v>0</c:v>
                </c:pt>
                <c:pt idx="21">
                  <c:v>1.8599999999999998E-2</c:v>
                </c:pt>
                <c:pt idx="22">
                  <c:v>-1.8599999999999998E-2</c:v>
                </c:pt>
                <c:pt idx="23">
                  <c:v>1.8599999999999998E-2</c:v>
                </c:pt>
                <c:pt idx="24">
                  <c:v>0</c:v>
                </c:pt>
                <c:pt idx="25">
                  <c:v>0</c:v>
                </c:pt>
                <c:pt idx="26">
                  <c:v>-3.1E-2</c:v>
                </c:pt>
                <c:pt idx="27">
                  <c:v>0</c:v>
                </c:pt>
                <c:pt idx="28">
                  <c:v>0</c:v>
                </c:pt>
                <c:pt idx="29">
                  <c:v>-3.1E-2</c:v>
                </c:pt>
                <c:pt idx="30">
                  <c:v>3.7199999999999997E-2</c:v>
                </c:pt>
                <c:pt idx="31">
                  <c:v>-1.8599999999999998E-2</c:v>
                </c:pt>
                <c:pt idx="32">
                  <c:v>6.2000000000000006E-3</c:v>
                </c:pt>
                <c:pt idx="33">
                  <c:v>6.2000000000000006E-3</c:v>
                </c:pt>
                <c:pt idx="34">
                  <c:v>-1.2400000000000001E-2</c:v>
                </c:pt>
                <c:pt idx="35">
                  <c:v>4.9600000000000005E-2</c:v>
                </c:pt>
                <c:pt idx="36">
                  <c:v>6.2E-2</c:v>
                </c:pt>
                <c:pt idx="37">
                  <c:v>-3.1E-2</c:v>
                </c:pt>
                <c:pt idx="38">
                  <c:v>0</c:v>
                </c:pt>
                <c:pt idx="39">
                  <c:v>2.4800000000000003E-2</c:v>
                </c:pt>
                <c:pt idx="40">
                  <c:v>-4.3399999999999994E-2</c:v>
                </c:pt>
                <c:pt idx="41">
                  <c:v>-2.4800000000000003E-2</c:v>
                </c:pt>
                <c:pt idx="42">
                  <c:v>2.4800000000000003E-2</c:v>
                </c:pt>
                <c:pt idx="43">
                  <c:v>-4.3399999999999994E-2</c:v>
                </c:pt>
                <c:pt idx="44">
                  <c:v>0</c:v>
                </c:pt>
                <c:pt idx="45">
                  <c:v>6.2000000000000006E-3</c:v>
                </c:pt>
                <c:pt idx="46">
                  <c:v>-3.7199999999999997E-2</c:v>
                </c:pt>
                <c:pt idx="47">
                  <c:v>1.8599999999999998E-2</c:v>
                </c:pt>
                <c:pt idx="48">
                  <c:v>4.3399999999999994E-2</c:v>
                </c:pt>
                <c:pt idx="49">
                  <c:v>-6.2000000000000006E-3</c:v>
                </c:pt>
                <c:pt idx="50">
                  <c:v>8.0600000000000005E-2</c:v>
                </c:pt>
                <c:pt idx="51">
                  <c:v>0</c:v>
                </c:pt>
                <c:pt idx="52">
                  <c:v>-4.9600000000000005E-2</c:v>
                </c:pt>
                <c:pt idx="53">
                  <c:v>1.2400000000000001E-2</c:v>
                </c:pt>
                <c:pt idx="54">
                  <c:v>4.9600000000000005E-2</c:v>
                </c:pt>
                <c:pt idx="55">
                  <c:v>-6.2000000000000006E-3</c:v>
                </c:pt>
                <c:pt idx="56">
                  <c:v>1.8599999999999998E-2</c:v>
                </c:pt>
                <c:pt idx="57">
                  <c:v>-1.2400000000000001E-2</c:v>
                </c:pt>
                <c:pt idx="58">
                  <c:v>-2.4800000000000003E-2</c:v>
                </c:pt>
                <c:pt idx="59">
                  <c:v>2.4800000000000003E-2</c:v>
                </c:pt>
                <c:pt idx="60">
                  <c:v>5.5800000000000002E-2</c:v>
                </c:pt>
                <c:pt idx="61">
                  <c:v>1.2400000000000001E-2</c:v>
                </c:pt>
                <c:pt idx="62">
                  <c:v>-6.2000000000000006E-3</c:v>
                </c:pt>
                <c:pt idx="63">
                  <c:v>0</c:v>
                </c:pt>
                <c:pt idx="64">
                  <c:v>-2.4800000000000003E-2</c:v>
                </c:pt>
                <c:pt idx="65">
                  <c:v>-1.2400000000000001E-2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C6-4C88-B849-A84E332D21F0}"/>
            </c:ext>
          </c:extLst>
        </c:ser>
        <c:ser>
          <c:idx val="1"/>
          <c:order val="6"/>
          <c:tx>
            <c:strRef>
              <c:f>'[1]CPI-快报图2'!$AO$4</c:f>
              <c:strCache>
                <c:ptCount val="1"/>
                <c:pt idx="0">
                  <c:v>衣着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'[1]CPI-快报图2'!$AO$5:$AO$201</c:f>
              <c:numCache>
                <c:formatCode>General</c:formatCode>
                <c:ptCount val="197"/>
                <c:pt idx="0">
                  <c:v>-2.6000000000000002E-2</c:v>
                </c:pt>
                <c:pt idx="1">
                  <c:v>-3.2500000000000001E-2</c:v>
                </c:pt>
                <c:pt idx="2">
                  <c:v>2.6000000000000002E-2</c:v>
                </c:pt>
                <c:pt idx="3">
                  <c:v>0</c:v>
                </c:pt>
                <c:pt idx="4">
                  <c:v>1.95E-2</c:v>
                </c:pt>
                <c:pt idx="5">
                  <c:v>-1.3000000000000001E-2</c:v>
                </c:pt>
                <c:pt idx="6">
                  <c:v>-2.6000000000000002E-2</c:v>
                </c:pt>
                <c:pt idx="7">
                  <c:v>-6.5000000000000006E-3</c:v>
                </c:pt>
                <c:pt idx="8">
                  <c:v>5.2000000000000005E-2</c:v>
                </c:pt>
                <c:pt idx="9">
                  <c:v>1.95E-2</c:v>
                </c:pt>
                <c:pt idx="10">
                  <c:v>1.95E-2</c:v>
                </c:pt>
                <c:pt idx="11">
                  <c:v>6.5000000000000006E-3</c:v>
                </c:pt>
                <c:pt idx="12">
                  <c:v>-3.2500000000000001E-2</c:v>
                </c:pt>
                <c:pt idx="13">
                  <c:v>-1.95E-2</c:v>
                </c:pt>
                <c:pt idx="14">
                  <c:v>2.6000000000000002E-2</c:v>
                </c:pt>
                <c:pt idx="15">
                  <c:v>-1.3000000000000001E-2</c:v>
                </c:pt>
                <c:pt idx="16">
                  <c:v>2.6000000000000002E-2</c:v>
                </c:pt>
                <c:pt idx="17">
                  <c:v>-6.5000000000000006E-3</c:v>
                </c:pt>
                <c:pt idx="18">
                  <c:v>-2.6000000000000002E-2</c:v>
                </c:pt>
                <c:pt idx="19">
                  <c:v>-1.3000000000000001E-2</c:v>
                </c:pt>
                <c:pt idx="20">
                  <c:v>5.2000000000000005E-2</c:v>
                </c:pt>
                <c:pt idx="21">
                  <c:v>1.95E-2</c:v>
                </c:pt>
                <c:pt idx="22">
                  <c:v>1.95E-2</c:v>
                </c:pt>
                <c:pt idx="23">
                  <c:v>6.5000000000000006E-3</c:v>
                </c:pt>
                <c:pt idx="24">
                  <c:v>-3.2500000000000001E-2</c:v>
                </c:pt>
                <c:pt idx="25">
                  <c:v>-6.5000000000000006E-3</c:v>
                </c:pt>
                <c:pt idx="26">
                  <c:v>3.2500000000000001E-2</c:v>
                </c:pt>
                <c:pt idx="27">
                  <c:v>-6.5000000000000006E-3</c:v>
                </c:pt>
                <c:pt idx="28">
                  <c:v>2.6000000000000002E-2</c:v>
                </c:pt>
                <c:pt idx="29">
                  <c:v>-1.3000000000000001E-2</c:v>
                </c:pt>
                <c:pt idx="30">
                  <c:v>-1.95E-2</c:v>
                </c:pt>
                <c:pt idx="31">
                  <c:v>-6.5000000000000006E-3</c:v>
                </c:pt>
                <c:pt idx="32">
                  <c:v>5.2000000000000005E-2</c:v>
                </c:pt>
                <c:pt idx="33">
                  <c:v>1.3000000000000001E-2</c:v>
                </c:pt>
                <c:pt idx="34">
                  <c:v>3.9E-2</c:v>
                </c:pt>
                <c:pt idx="35">
                  <c:v>6.5000000000000006E-3</c:v>
                </c:pt>
                <c:pt idx="36">
                  <c:v>-1.95E-2</c:v>
                </c:pt>
                <c:pt idx="37">
                  <c:v>-1.3000000000000001E-2</c:v>
                </c:pt>
                <c:pt idx="38">
                  <c:v>3.9E-2</c:v>
                </c:pt>
                <c:pt idx="39">
                  <c:v>-6.5000000000000006E-3</c:v>
                </c:pt>
                <c:pt idx="40">
                  <c:v>2.6000000000000002E-2</c:v>
                </c:pt>
                <c:pt idx="41">
                  <c:v>-1.3000000000000001E-2</c:v>
                </c:pt>
                <c:pt idx="42">
                  <c:v>-2.6000000000000002E-2</c:v>
                </c:pt>
                <c:pt idx="43">
                  <c:v>-1.3000000000000001E-2</c:v>
                </c:pt>
                <c:pt idx="44">
                  <c:v>5.2000000000000005E-2</c:v>
                </c:pt>
                <c:pt idx="45">
                  <c:v>0</c:v>
                </c:pt>
                <c:pt idx="46">
                  <c:v>3.9E-2</c:v>
                </c:pt>
                <c:pt idx="47">
                  <c:v>1.3000000000000001E-2</c:v>
                </c:pt>
                <c:pt idx="48">
                  <c:v>-2.6000000000000002E-2</c:v>
                </c:pt>
                <c:pt idx="49">
                  <c:v>-6.5000000000000006E-3</c:v>
                </c:pt>
                <c:pt idx="50">
                  <c:v>4.5499999999999999E-2</c:v>
                </c:pt>
                <c:pt idx="51">
                  <c:v>-6.5000000000000006E-3</c:v>
                </c:pt>
                <c:pt idx="52">
                  <c:v>3.9E-2</c:v>
                </c:pt>
                <c:pt idx="53">
                  <c:v>-6.5000000000000006E-3</c:v>
                </c:pt>
                <c:pt idx="54">
                  <c:v>-1.95E-2</c:v>
                </c:pt>
                <c:pt idx="55">
                  <c:v>-6.5000000000000006E-3</c:v>
                </c:pt>
                <c:pt idx="56">
                  <c:v>4.5499999999999999E-2</c:v>
                </c:pt>
                <c:pt idx="57">
                  <c:v>0</c:v>
                </c:pt>
                <c:pt idx="58">
                  <c:v>4.5499999999999999E-2</c:v>
                </c:pt>
                <c:pt idx="59">
                  <c:v>0</c:v>
                </c:pt>
                <c:pt idx="60">
                  <c:v>-1.3000000000000001E-2</c:v>
                </c:pt>
                <c:pt idx="61">
                  <c:v>-6.5000000000000006E-3</c:v>
                </c:pt>
                <c:pt idx="62">
                  <c:v>2.6000000000000002E-2</c:v>
                </c:pt>
                <c:pt idx="63">
                  <c:v>-1.95E-2</c:v>
                </c:pt>
                <c:pt idx="64">
                  <c:v>3.9E-2</c:v>
                </c:pt>
                <c:pt idx="65">
                  <c:v>-6.5000000000000006E-3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C6-4C88-B849-A84E332D21F0}"/>
            </c:ext>
          </c:extLst>
        </c:ser>
        <c:ser>
          <c:idx val="7"/>
          <c:order val="7"/>
          <c:tx>
            <c:strRef>
              <c:f>'[1]CPI-快报图2'!$AU$4</c:f>
              <c:strCache>
                <c:ptCount val="1"/>
                <c:pt idx="0">
                  <c:v>其他用品和服务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'[1]CPI-快报图2'!$AU$5:$AU$201</c:f>
              <c:numCache>
                <c:formatCode>General</c:formatCode>
                <c:ptCount val="197"/>
                <c:pt idx="0">
                  <c:v>1.2E-2</c:v>
                </c:pt>
                <c:pt idx="1">
                  <c:v>-7.1999999999999998E-3</c:v>
                </c:pt>
                <c:pt idx="2">
                  <c:v>-1.9200000000000002E-2</c:v>
                </c:pt>
                <c:pt idx="3">
                  <c:v>9.6000000000000009E-3</c:v>
                </c:pt>
                <c:pt idx="4">
                  <c:v>1.44E-2</c:v>
                </c:pt>
                <c:pt idx="5">
                  <c:v>2.4000000000000002E-3</c:v>
                </c:pt>
                <c:pt idx="6">
                  <c:v>4.8000000000000004E-3</c:v>
                </c:pt>
                <c:pt idx="7">
                  <c:v>-2.1600000000000001E-2</c:v>
                </c:pt>
                <c:pt idx="8">
                  <c:v>7.1999999999999998E-3</c:v>
                </c:pt>
                <c:pt idx="9">
                  <c:v>2.4000000000000002E-3</c:v>
                </c:pt>
                <c:pt idx="10">
                  <c:v>-1.2E-2</c:v>
                </c:pt>
                <c:pt idx="11">
                  <c:v>-2.4000000000000002E-3</c:v>
                </c:pt>
                <c:pt idx="12">
                  <c:v>2.1600000000000001E-2</c:v>
                </c:pt>
                <c:pt idx="13">
                  <c:v>2.4000000000000002E-3</c:v>
                </c:pt>
                <c:pt idx="14">
                  <c:v>2.4E-2</c:v>
                </c:pt>
                <c:pt idx="15">
                  <c:v>0</c:v>
                </c:pt>
                <c:pt idx="16">
                  <c:v>1.44E-2</c:v>
                </c:pt>
                <c:pt idx="17">
                  <c:v>2.4000000000000002E-3</c:v>
                </c:pt>
                <c:pt idx="18">
                  <c:v>-1.6799999999999999E-2</c:v>
                </c:pt>
                <c:pt idx="19">
                  <c:v>7.1999999999999998E-3</c:v>
                </c:pt>
                <c:pt idx="20">
                  <c:v>-7.1999999999999998E-3</c:v>
                </c:pt>
                <c:pt idx="21">
                  <c:v>9.6000000000000009E-3</c:v>
                </c:pt>
                <c:pt idx="22">
                  <c:v>-2.4000000000000002E-3</c:v>
                </c:pt>
                <c:pt idx="23">
                  <c:v>9.6000000000000009E-3</c:v>
                </c:pt>
                <c:pt idx="24">
                  <c:v>2.6400000000000003E-2</c:v>
                </c:pt>
                <c:pt idx="25">
                  <c:v>-7.1999999999999998E-3</c:v>
                </c:pt>
                <c:pt idx="26">
                  <c:v>1.9200000000000002E-2</c:v>
                </c:pt>
                <c:pt idx="27">
                  <c:v>2.4E-2</c:v>
                </c:pt>
                <c:pt idx="28">
                  <c:v>4.8000000000000004E-3</c:v>
                </c:pt>
                <c:pt idx="29">
                  <c:v>-1.44E-2</c:v>
                </c:pt>
                <c:pt idx="30">
                  <c:v>2.1600000000000001E-2</c:v>
                </c:pt>
                <c:pt idx="31">
                  <c:v>0</c:v>
                </c:pt>
                <c:pt idx="32">
                  <c:v>-2.4000000000000002E-3</c:v>
                </c:pt>
                <c:pt idx="33">
                  <c:v>2.4000000000000002E-3</c:v>
                </c:pt>
                <c:pt idx="34">
                  <c:v>-1.44E-2</c:v>
                </c:pt>
                <c:pt idx="35">
                  <c:v>7.1999999999999998E-3</c:v>
                </c:pt>
                <c:pt idx="36">
                  <c:v>2.6400000000000003E-2</c:v>
                </c:pt>
                <c:pt idx="37">
                  <c:v>-4.8000000000000004E-3</c:v>
                </c:pt>
                <c:pt idx="38">
                  <c:v>1.44E-2</c:v>
                </c:pt>
                <c:pt idx="39">
                  <c:v>4.8000000000000001E-2</c:v>
                </c:pt>
                <c:pt idx="40">
                  <c:v>2.4000000000000002E-3</c:v>
                </c:pt>
                <c:pt idx="41">
                  <c:v>-4.8000000000000004E-3</c:v>
                </c:pt>
                <c:pt idx="42">
                  <c:v>2.1600000000000001E-2</c:v>
                </c:pt>
                <c:pt idx="43">
                  <c:v>-1.44E-2</c:v>
                </c:pt>
                <c:pt idx="44">
                  <c:v>0</c:v>
                </c:pt>
                <c:pt idx="45">
                  <c:v>2.6400000000000003E-2</c:v>
                </c:pt>
                <c:pt idx="46">
                  <c:v>-2.4000000000000002E-3</c:v>
                </c:pt>
                <c:pt idx="47">
                  <c:v>0</c:v>
                </c:pt>
                <c:pt idx="48">
                  <c:v>3.8400000000000004E-2</c:v>
                </c:pt>
                <c:pt idx="49">
                  <c:v>1.6799999999999999E-2</c:v>
                </c:pt>
                <c:pt idx="50">
                  <c:v>9.6000000000000009E-3</c:v>
                </c:pt>
                <c:pt idx="51">
                  <c:v>5.7599999999999998E-2</c:v>
                </c:pt>
                <c:pt idx="52">
                  <c:v>1.6799999999999999E-2</c:v>
                </c:pt>
                <c:pt idx="53">
                  <c:v>1.2E-2</c:v>
                </c:pt>
                <c:pt idx="54">
                  <c:v>2.1600000000000001E-2</c:v>
                </c:pt>
                <c:pt idx="55">
                  <c:v>0</c:v>
                </c:pt>
                <c:pt idx="56">
                  <c:v>3.1200000000000002E-2</c:v>
                </c:pt>
                <c:pt idx="57">
                  <c:v>9.1200000000000003E-2</c:v>
                </c:pt>
                <c:pt idx="58">
                  <c:v>2.8799999999999999E-2</c:v>
                </c:pt>
                <c:pt idx="59">
                  <c:v>6.7199999999999996E-2</c:v>
                </c:pt>
                <c:pt idx="60">
                  <c:v>6.480000000000001E-2</c:v>
                </c:pt>
                <c:pt idx="61">
                  <c:v>5.5199999999999999E-2</c:v>
                </c:pt>
                <c:pt idx="62">
                  <c:v>-3.3599999999999998E-2</c:v>
                </c:pt>
                <c:pt idx="63">
                  <c:v>-1.2E-2</c:v>
                </c:pt>
                <c:pt idx="64">
                  <c:v>-9.6000000000000009E-3</c:v>
                </c:pt>
                <c:pt idx="65">
                  <c:v>-6.480000000000001E-2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C6-4C88-B849-A84E332D2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47267247"/>
        <c:axId val="347263887"/>
      </c:barChart>
      <c:lineChart>
        <c:grouping val="standard"/>
        <c:varyColors val="0"/>
        <c:ser>
          <c:idx val="8"/>
          <c:order val="8"/>
          <c:tx>
            <c:strRef>
              <c:f>'[1]CPI-快报图2'!$AV$4</c:f>
              <c:strCache>
                <c:ptCount val="1"/>
                <c:pt idx="0">
                  <c:v>CPI当月环比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'[1]CPI-快报图2'!$AM$5:$AM$201</c:f>
              <c:numCache>
                <c:formatCode>General</c:formatCode>
                <c:ptCount val="197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'[1]CPI-快报图2'!$AV$5:$AV$201</c:f>
              <c:numCache>
                <c:formatCode>General</c:formatCode>
                <c:ptCount val="197"/>
                <c:pt idx="0">
                  <c:v>1</c:v>
                </c:pt>
                <c:pt idx="1">
                  <c:v>0.6</c:v>
                </c:pt>
                <c:pt idx="2">
                  <c:v>-0.5</c:v>
                </c:pt>
                <c:pt idx="3">
                  <c:v>-0.3</c:v>
                </c:pt>
                <c:pt idx="4">
                  <c:v>-0.2</c:v>
                </c:pt>
                <c:pt idx="5">
                  <c:v>-0.4</c:v>
                </c:pt>
                <c:pt idx="6">
                  <c:v>0.3</c:v>
                </c:pt>
                <c:pt idx="7">
                  <c:v>0.1</c:v>
                </c:pt>
                <c:pt idx="8">
                  <c:v>0</c:v>
                </c:pt>
                <c:pt idx="9">
                  <c:v>0.7</c:v>
                </c:pt>
                <c:pt idx="10">
                  <c:v>0.4</c:v>
                </c:pt>
                <c:pt idx="11">
                  <c:v>-0.3</c:v>
                </c:pt>
                <c:pt idx="12">
                  <c:v>0.4</c:v>
                </c:pt>
                <c:pt idx="13">
                  <c:v>0.6</c:v>
                </c:pt>
                <c:pt idx="14">
                  <c:v>0</c:v>
                </c:pt>
                <c:pt idx="15">
                  <c:v>0.4</c:v>
                </c:pt>
                <c:pt idx="16">
                  <c:v>-0.2</c:v>
                </c:pt>
                <c:pt idx="17">
                  <c:v>0</c:v>
                </c:pt>
                <c:pt idx="18">
                  <c:v>0.5</c:v>
                </c:pt>
                <c:pt idx="19">
                  <c:v>-0.1</c:v>
                </c:pt>
                <c:pt idx="20">
                  <c:v>0.3</c:v>
                </c:pt>
                <c:pt idx="21">
                  <c:v>0.1</c:v>
                </c:pt>
                <c:pt idx="22">
                  <c:v>-0.2</c:v>
                </c:pt>
                <c:pt idx="23">
                  <c:v>0</c:v>
                </c:pt>
                <c:pt idx="24">
                  <c:v>0.8</c:v>
                </c:pt>
                <c:pt idx="25">
                  <c:v>-0.5</c:v>
                </c:pt>
                <c:pt idx="26">
                  <c:v>-0.3</c:v>
                </c:pt>
                <c:pt idx="27">
                  <c:v>-0.1</c:v>
                </c:pt>
                <c:pt idx="28">
                  <c:v>-0.2</c:v>
                </c:pt>
                <c:pt idx="29">
                  <c:v>-0.2</c:v>
                </c:pt>
                <c:pt idx="30">
                  <c:v>0.2</c:v>
                </c:pt>
                <c:pt idx="31">
                  <c:v>0.3</c:v>
                </c:pt>
                <c:pt idx="32">
                  <c:v>0.2</c:v>
                </c:pt>
                <c:pt idx="33">
                  <c:v>-0.1</c:v>
                </c:pt>
                <c:pt idx="34">
                  <c:v>-0.5</c:v>
                </c:pt>
                <c:pt idx="35">
                  <c:v>0.1</c:v>
                </c:pt>
                <c:pt idx="36">
                  <c:v>0.3</c:v>
                </c:pt>
                <c:pt idx="37">
                  <c:v>1</c:v>
                </c:pt>
                <c:pt idx="38">
                  <c:v>-1</c:v>
                </c:pt>
                <c:pt idx="39">
                  <c:v>0.1</c:v>
                </c:pt>
                <c:pt idx="40">
                  <c:v>-0.1</c:v>
                </c:pt>
                <c:pt idx="41">
                  <c:v>-0.2</c:v>
                </c:pt>
                <c:pt idx="42">
                  <c:v>0.5</c:v>
                </c:pt>
                <c:pt idx="43">
                  <c:v>0.4</c:v>
                </c:pt>
                <c:pt idx="44">
                  <c:v>0</c:v>
                </c:pt>
                <c:pt idx="45">
                  <c:v>-0.3</c:v>
                </c:pt>
                <c:pt idx="46">
                  <c:v>-0.6</c:v>
                </c:pt>
                <c:pt idx="47">
                  <c:v>0</c:v>
                </c:pt>
                <c:pt idx="48">
                  <c:v>0.7</c:v>
                </c:pt>
                <c:pt idx="49">
                  <c:v>-0.2</c:v>
                </c:pt>
                <c:pt idx="50">
                  <c:v>-0.4</c:v>
                </c:pt>
                <c:pt idx="51">
                  <c:v>0.1</c:v>
                </c:pt>
                <c:pt idx="52">
                  <c:v>-0.2</c:v>
                </c:pt>
                <c:pt idx="53">
                  <c:v>-0.1</c:v>
                </c:pt>
                <c:pt idx="54">
                  <c:v>0.4</c:v>
                </c:pt>
                <c:pt idx="55">
                  <c:v>0</c:v>
                </c:pt>
                <c:pt idx="56">
                  <c:v>0.1</c:v>
                </c:pt>
                <c:pt idx="57">
                  <c:v>0.2</c:v>
                </c:pt>
                <c:pt idx="58">
                  <c:v>-0.1</c:v>
                </c:pt>
                <c:pt idx="59">
                  <c:v>0.2</c:v>
                </c:pt>
                <c:pt idx="60">
                  <c:v>0.2</c:v>
                </c:pt>
                <c:pt idx="61">
                  <c:v>1</c:v>
                </c:pt>
                <c:pt idx="62">
                  <c:v>-0.7</c:v>
                </c:pt>
                <c:pt idx="63">
                  <c:v>0.3</c:v>
                </c:pt>
                <c:pt idx="64">
                  <c:v>-0.1</c:v>
                </c:pt>
                <c:pt idx="65">
                  <c:v>-0.3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9C6-4C88-B849-A84E332D2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267247"/>
        <c:axId val="347263887"/>
      </c:lineChart>
      <c:catAx>
        <c:axId val="347267247"/>
        <c:scaling>
          <c:orientation val="minMax"/>
          <c:max val="66"/>
          <c:min val="30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47263887"/>
        <c:crosses val="autoZero"/>
        <c:auto val="1"/>
        <c:lblAlgn val="ctr"/>
        <c:lblOffset val="100"/>
        <c:tickLblSkip val="6"/>
        <c:noMultiLvlLbl val="0"/>
      </c:catAx>
      <c:valAx>
        <c:axId val="347263887"/>
        <c:scaling>
          <c:orientation val="minMax"/>
          <c:max val="1.5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47267247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3000227525424263"/>
          <c:y val="9.8863259807805901E-2"/>
          <c:w val="0.78889619980551962"/>
          <c:h val="0.18924724060304915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r>
              <a:rPr lang="en-US" b="1"/>
              <a:t>CPI</a:t>
            </a:r>
            <a:r>
              <a:rPr lang="zh-CN" b="1"/>
              <a:t>同比贡献拆分（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'[1]CPI-快报图2'!$R$4</c:f>
              <c:strCache>
                <c:ptCount val="1"/>
                <c:pt idx="0">
                  <c:v>食品烟酒</c:v>
                </c:pt>
              </c:strCache>
            </c:strRef>
          </c:tx>
          <c:spPr>
            <a:solidFill>
              <a:srgbClr val="B34845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'[1]CPI-快报图2'!$R$5:$R$537</c:f>
              <c:numCache>
                <c:formatCode>General</c:formatCode>
                <c:ptCount val="5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A-40D6-BC16-FFFBE3B406E4}"/>
            </c:ext>
          </c:extLst>
        </c:ser>
        <c:ser>
          <c:idx val="4"/>
          <c:order val="1"/>
          <c:tx>
            <c:strRef>
              <c:f>'[1]CPI-快报图2'!$V$4</c:f>
              <c:strCache>
                <c:ptCount val="1"/>
                <c:pt idx="0">
                  <c:v>交通和通信</c:v>
                </c:pt>
              </c:strCache>
            </c:strRef>
          </c:tx>
          <c:spPr>
            <a:solidFill>
              <a:srgbClr val="D99D25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'[1]CPI-快报图2'!$V$5:$V$537</c:f>
              <c:numCache>
                <c:formatCode>General</c:formatCode>
                <c:ptCount val="533"/>
                <c:pt idx="0">
                  <c:v>-0.621</c:v>
                </c:pt>
                <c:pt idx="1">
                  <c:v>-0.25650000000000001</c:v>
                </c:pt>
                <c:pt idx="2">
                  <c:v>0.36450000000000005</c:v>
                </c:pt>
                <c:pt idx="3">
                  <c:v>0.66150000000000009</c:v>
                </c:pt>
                <c:pt idx="4">
                  <c:v>0.74250000000000005</c:v>
                </c:pt>
                <c:pt idx="5">
                  <c:v>0.78300000000000003</c:v>
                </c:pt>
                <c:pt idx="6">
                  <c:v>0.93150000000000011</c:v>
                </c:pt>
                <c:pt idx="7">
                  <c:v>0.7965000000000001</c:v>
                </c:pt>
                <c:pt idx="8">
                  <c:v>0.78300000000000003</c:v>
                </c:pt>
                <c:pt idx="9">
                  <c:v>0.94500000000000006</c:v>
                </c:pt>
                <c:pt idx="10">
                  <c:v>1.026</c:v>
                </c:pt>
                <c:pt idx="11">
                  <c:v>0.67500000000000004</c:v>
                </c:pt>
                <c:pt idx="12">
                  <c:v>0.70200000000000007</c:v>
                </c:pt>
                <c:pt idx="13">
                  <c:v>0.74250000000000005</c:v>
                </c:pt>
                <c:pt idx="14">
                  <c:v>0.78300000000000003</c:v>
                </c:pt>
                <c:pt idx="15">
                  <c:v>0.87750000000000006</c:v>
                </c:pt>
                <c:pt idx="16">
                  <c:v>0.83700000000000008</c:v>
                </c:pt>
                <c:pt idx="17">
                  <c:v>1.1475</c:v>
                </c:pt>
                <c:pt idx="18">
                  <c:v>0.82350000000000001</c:v>
                </c:pt>
                <c:pt idx="19">
                  <c:v>0.66150000000000009</c:v>
                </c:pt>
                <c:pt idx="20">
                  <c:v>0.60750000000000004</c:v>
                </c:pt>
                <c:pt idx="21">
                  <c:v>0.41850000000000004</c:v>
                </c:pt>
                <c:pt idx="22">
                  <c:v>0.39150000000000001</c:v>
                </c:pt>
                <c:pt idx="23">
                  <c:v>0.378</c:v>
                </c:pt>
                <c:pt idx="24">
                  <c:v>0.27</c:v>
                </c:pt>
                <c:pt idx="25">
                  <c:v>1.3500000000000002E-2</c:v>
                </c:pt>
                <c:pt idx="26">
                  <c:v>-0.25650000000000001</c:v>
                </c:pt>
                <c:pt idx="27">
                  <c:v>-0.44550000000000001</c:v>
                </c:pt>
                <c:pt idx="28">
                  <c:v>-0.52649999999999997</c:v>
                </c:pt>
                <c:pt idx="29">
                  <c:v>-0.87750000000000006</c:v>
                </c:pt>
                <c:pt idx="30">
                  <c:v>-0.63450000000000006</c:v>
                </c:pt>
                <c:pt idx="31">
                  <c:v>-0.28350000000000003</c:v>
                </c:pt>
                <c:pt idx="32">
                  <c:v>-0.17550000000000002</c:v>
                </c:pt>
                <c:pt idx="33">
                  <c:v>-0.12150000000000001</c:v>
                </c:pt>
                <c:pt idx="34">
                  <c:v>-0.32400000000000001</c:v>
                </c:pt>
                <c:pt idx="35">
                  <c:v>-0.29700000000000004</c:v>
                </c:pt>
                <c:pt idx="36">
                  <c:v>-0.32400000000000001</c:v>
                </c:pt>
                <c:pt idx="37">
                  <c:v>-5.4000000000000006E-2</c:v>
                </c:pt>
                <c:pt idx="38">
                  <c:v>-0.17550000000000002</c:v>
                </c:pt>
                <c:pt idx="39">
                  <c:v>1.3500000000000002E-2</c:v>
                </c:pt>
                <c:pt idx="40">
                  <c:v>-2.7000000000000003E-2</c:v>
                </c:pt>
                <c:pt idx="41">
                  <c:v>-4.0500000000000001E-2</c:v>
                </c:pt>
                <c:pt idx="42">
                  <c:v>-8.1000000000000003E-2</c:v>
                </c:pt>
                <c:pt idx="43">
                  <c:v>-0.36450000000000005</c:v>
                </c:pt>
                <c:pt idx="44">
                  <c:v>-0.55349999999999999</c:v>
                </c:pt>
                <c:pt idx="45">
                  <c:v>-0.64800000000000002</c:v>
                </c:pt>
                <c:pt idx="46">
                  <c:v>-0.48600000000000004</c:v>
                </c:pt>
                <c:pt idx="47">
                  <c:v>-0.29700000000000004</c:v>
                </c:pt>
                <c:pt idx="48">
                  <c:v>-8.1000000000000003E-2</c:v>
                </c:pt>
                <c:pt idx="49">
                  <c:v>-0.33750000000000002</c:v>
                </c:pt>
                <c:pt idx="50">
                  <c:v>-0.35100000000000003</c:v>
                </c:pt>
                <c:pt idx="51">
                  <c:v>-0.52649999999999997</c:v>
                </c:pt>
                <c:pt idx="52">
                  <c:v>-0.58050000000000002</c:v>
                </c:pt>
                <c:pt idx="53">
                  <c:v>-0.49950000000000006</c:v>
                </c:pt>
                <c:pt idx="54">
                  <c:v>-0.41850000000000004</c:v>
                </c:pt>
                <c:pt idx="55">
                  <c:v>-0.32400000000000001</c:v>
                </c:pt>
                <c:pt idx="56">
                  <c:v>-0.27</c:v>
                </c:pt>
                <c:pt idx="57">
                  <c:v>-0.20250000000000001</c:v>
                </c:pt>
                <c:pt idx="58">
                  <c:v>-0.3105</c:v>
                </c:pt>
                <c:pt idx="59">
                  <c:v>-0.35100000000000003</c:v>
                </c:pt>
                <c:pt idx="60">
                  <c:v>-0.45900000000000002</c:v>
                </c:pt>
                <c:pt idx="61">
                  <c:v>-9.4500000000000001E-2</c:v>
                </c:pt>
                <c:pt idx="62">
                  <c:v>0.12150000000000001</c:v>
                </c:pt>
                <c:pt idx="63">
                  <c:v>0.621</c:v>
                </c:pt>
                <c:pt idx="64">
                  <c:v>0.72900000000000009</c:v>
                </c:pt>
                <c:pt idx="65">
                  <c:v>0.55349999999999999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A-40D6-BC16-FFFBE3B406E4}"/>
            </c:ext>
          </c:extLst>
        </c:ser>
        <c:ser>
          <c:idx val="2"/>
          <c:order val="2"/>
          <c:tx>
            <c:strRef>
              <c:f>'[1]CPI-快报图2'!$T$4</c:f>
              <c:strCache>
                <c:ptCount val="1"/>
                <c:pt idx="0">
                  <c:v>居住</c:v>
                </c:pt>
              </c:strCache>
            </c:strRef>
          </c:tx>
          <c:spPr>
            <a:solidFill>
              <a:srgbClr val="6995A9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'[1]CPI-快报图2'!$T$5:$T$537</c:f>
              <c:numCache>
                <c:formatCode>General</c:formatCode>
                <c:ptCount val="533"/>
                <c:pt idx="0">
                  <c:v>-9.3600000000000003E-2</c:v>
                </c:pt>
                <c:pt idx="1">
                  <c:v>-7.0199999999999999E-2</c:v>
                </c:pt>
                <c:pt idx="2">
                  <c:v>4.6800000000000001E-2</c:v>
                </c:pt>
                <c:pt idx="3">
                  <c:v>9.3600000000000003E-2</c:v>
                </c:pt>
                <c:pt idx="4">
                  <c:v>0.16379999999999997</c:v>
                </c:pt>
                <c:pt idx="5">
                  <c:v>0.21059999999999998</c:v>
                </c:pt>
                <c:pt idx="6">
                  <c:v>0.25740000000000002</c:v>
                </c:pt>
                <c:pt idx="7">
                  <c:v>0.25740000000000002</c:v>
                </c:pt>
                <c:pt idx="8">
                  <c:v>0.30419999999999997</c:v>
                </c:pt>
                <c:pt idx="9">
                  <c:v>0.39779999999999999</c:v>
                </c:pt>
                <c:pt idx="10">
                  <c:v>0.39779999999999999</c:v>
                </c:pt>
                <c:pt idx="11">
                  <c:v>0.37440000000000001</c:v>
                </c:pt>
                <c:pt idx="12">
                  <c:v>0.32759999999999995</c:v>
                </c:pt>
                <c:pt idx="13">
                  <c:v>0.32759999999999995</c:v>
                </c:pt>
                <c:pt idx="14">
                  <c:v>0.30419999999999997</c:v>
                </c:pt>
                <c:pt idx="15">
                  <c:v>0.28079999999999999</c:v>
                </c:pt>
                <c:pt idx="16">
                  <c:v>0.23399999999999999</c:v>
                </c:pt>
                <c:pt idx="17">
                  <c:v>0.18720000000000001</c:v>
                </c:pt>
                <c:pt idx="18">
                  <c:v>0.16379999999999997</c:v>
                </c:pt>
                <c:pt idx="19">
                  <c:v>0.1404</c:v>
                </c:pt>
                <c:pt idx="20">
                  <c:v>7.0199999999999999E-2</c:v>
                </c:pt>
                <c:pt idx="21">
                  <c:v>-4.6800000000000001E-2</c:v>
                </c:pt>
                <c:pt idx="22">
                  <c:v>-4.6800000000000001E-2</c:v>
                </c:pt>
                <c:pt idx="23">
                  <c:v>-4.6800000000000001E-2</c:v>
                </c:pt>
                <c:pt idx="24">
                  <c:v>-2.3400000000000001E-2</c:v>
                </c:pt>
                <c:pt idx="25">
                  <c:v>-2.3400000000000001E-2</c:v>
                </c:pt>
                <c:pt idx="26">
                  <c:v>-7.0199999999999999E-2</c:v>
                </c:pt>
                <c:pt idx="27">
                  <c:v>-4.6800000000000001E-2</c:v>
                </c:pt>
                <c:pt idx="28">
                  <c:v>-4.6800000000000001E-2</c:v>
                </c:pt>
                <c:pt idx="29">
                  <c:v>0</c:v>
                </c:pt>
                <c:pt idx="30">
                  <c:v>2.3400000000000001E-2</c:v>
                </c:pt>
                <c:pt idx="31">
                  <c:v>2.3400000000000001E-2</c:v>
                </c:pt>
                <c:pt idx="32">
                  <c:v>4.6800000000000001E-2</c:v>
                </c:pt>
                <c:pt idx="33">
                  <c:v>7.0199999999999999E-2</c:v>
                </c:pt>
                <c:pt idx="34">
                  <c:v>7.0199999999999999E-2</c:v>
                </c:pt>
                <c:pt idx="35">
                  <c:v>7.0199999999999999E-2</c:v>
                </c:pt>
                <c:pt idx="36">
                  <c:v>7.0199999999999999E-2</c:v>
                </c:pt>
                <c:pt idx="37">
                  <c:v>4.6800000000000001E-2</c:v>
                </c:pt>
                <c:pt idx="38">
                  <c:v>4.6800000000000001E-2</c:v>
                </c:pt>
                <c:pt idx="39">
                  <c:v>4.6800000000000001E-2</c:v>
                </c:pt>
                <c:pt idx="40">
                  <c:v>4.6800000000000001E-2</c:v>
                </c:pt>
                <c:pt idx="41">
                  <c:v>4.6800000000000001E-2</c:v>
                </c:pt>
                <c:pt idx="42">
                  <c:v>2.3400000000000001E-2</c:v>
                </c:pt>
                <c:pt idx="43">
                  <c:v>0</c:v>
                </c:pt>
                <c:pt idx="44">
                  <c:v>-2.3400000000000001E-2</c:v>
                </c:pt>
                <c:pt idx="45">
                  <c:v>-2.3400000000000001E-2</c:v>
                </c:pt>
                <c:pt idx="46">
                  <c:v>-2.3400000000000001E-2</c:v>
                </c:pt>
                <c:pt idx="47">
                  <c:v>2.3400000000000001E-2</c:v>
                </c:pt>
                <c:pt idx="48">
                  <c:v>2.3400000000000001E-2</c:v>
                </c:pt>
                <c:pt idx="49">
                  <c:v>2.3400000000000001E-2</c:v>
                </c:pt>
                <c:pt idx="50">
                  <c:v>2.3400000000000001E-2</c:v>
                </c:pt>
                <c:pt idx="51">
                  <c:v>2.3400000000000001E-2</c:v>
                </c:pt>
                <c:pt idx="52">
                  <c:v>2.3400000000000001E-2</c:v>
                </c:pt>
                <c:pt idx="53">
                  <c:v>2.3400000000000001E-2</c:v>
                </c:pt>
                <c:pt idx="54">
                  <c:v>2.3400000000000001E-2</c:v>
                </c:pt>
                <c:pt idx="55">
                  <c:v>2.3400000000000001E-2</c:v>
                </c:pt>
                <c:pt idx="56">
                  <c:v>2.3400000000000001E-2</c:v>
                </c:pt>
                <c:pt idx="57">
                  <c:v>2.3400000000000001E-2</c:v>
                </c:pt>
                <c:pt idx="58">
                  <c:v>0</c:v>
                </c:pt>
                <c:pt idx="59">
                  <c:v>-4.6800000000000001E-2</c:v>
                </c:pt>
                <c:pt idx="60">
                  <c:v>-2.3400000000000001E-2</c:v>
                </c:pt>
                <c:pt idx="61">
                  <c:v>-4.6800000000000001E-2</c:v>
                </c:pt>
                <c:pt idx="62">
                  <c:v>-4.6800000000000001E-2</c:v>
                </c:pt>
                <c:pt idx="63">
                  <c:v>-4.6800000000000001E-2</c:v>
                </c:pt>
                <c:pt idx="64">
                  <c:v>-4.6800000000000001E-2</c:v>
                </c:pt>
                <c:pt idx="65">
                  <c:v>-7.0199999999999999E-2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2A-40D6-BC16-FFFBE3B406E4}"/>
            </c:ext>
          </c:extLst>
        </c:ser>
        <c:ser>
          <c:idx val="6"/>
          <c:order val="3"/>
          <c:tx>
            <c:strRef>
              <c:f>'[1]CPI-快报图2'!$X$4</c:f>
              <c:strCache>
                <c:ptCount val="1"/>
                <c:pt idx="0">
                  <c:v>医疗保健</c:v>
                </c:pt>
              </c:strCache>
            </c:strRef>
          </c:tx>
          <c:spPr>
            <a:solidFill>
              <a:srgbClr val="818181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'[1]CPI-快报图2'!$X$5:$X$537</c:f>
              <c:numCache>
                <c:formatCode>General</c:formatCode>
                <c:ptCount val="533"/>
                <c:pt idx="0">
                  <c:v>3.4000000000000002E-2</c:v>
                </c:pt>
                <c:pt idx="1">
                  <c:v>2.5500000000000002E-2</c:v>
                </c:pt>
                <c:pt idx="2">
                  <c:v>1.7000000000000001E-2</c:v>
                </c:pt>
                <c:pt idx="3">
                  <c:v>8.5000000000000006E-3</c:v>
                </c:pt>
                <c:pt idx="4">
                  <c:v>1.7000000000000001E-2</c:v>
                </c:pt>
                <c:pt idx="5">
                  <c:v>2.5500000000000002E-2</c:v>
                </c:pt>
                <c:pt idx="6">
                  <c:v>3.4000000000000002E-2</c:v>
                </c:pt>
                <c:pt idx="7">
                  <c:v>3.4000000000000002E-2</c:v>
                </c:pt>
                <c:pt idx="8">
                  <c:v>3.4000000000000002E-2</c:v>
                </c:pt>
                <c:pt idx="9">
                  <c:v>5.1000000000000004E-2</c:v>
                </c:pt>
                <c:pt idx="10">
                  <c:v>5.1000000000000004E-2</c:v>
                </c:pt>
                <c:pt idx="11">
                  <c:v>5.9499999999999997E-2</c:v>
                </c:pt>
                <c:pt idx="12">
                  <c:v>5.1000000000000004E-2</c:v>
                </c:pt>
                <c:pt idx="13">
                  <c:v>5.1000000000000004E-2</c:v>
                </c:pt>
                <c:pt idx="14">
                  <c:v>5.9499999999999997E-2</c:v>
                </c:pt>
                <c:pt idx="15">
                  <c:v>5.9499999999999997E-2</c:v>
                </c:pt>
                <c:pt idx="16">
                  <c:v>5.9499999999999997E-2</c:v>
                </c:pt>
                <c:pt idx="17">
                  <c:v>5.9499999999999997E-2</c:v>
                </c:pt>
                <c:pt idx="18">
                  <c:v>5.9499999999999997E-2</c:v>
                </c:pt>
                <c:pt idx="19">
                  <c:v>5.9499999999999997E-2</c:v>
                </c:pt>
                <c:pt idx="20">
                  <c:v>5.9499999999999997E-2</c:v>
                </c:pt>
                <c:pt idx="21">
                  <c:v>4.2500000000000003E-2</c:v>
                </c:pt>
                <c:pt idx="22">
                  <c:v>4.2500000000000003E-2</c:v>
                </c:pt>
                <c:pt idx="23">
                  <c:v>5.1000000000000004E-2</c:v>
                </c:pt>
                <c:pt idx="24">
                  <c:v>6.8000000000000005E-2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9.3500000000000014E-2</c:v>
                </c:pt>
                <c:pt idx="29">
                  <c:v>9.3500000000000014E-2</c:v>
                </c:pt>
                <c:pt idx="30">
                  <c:v>0.10200000000000001</c:v>
                </c:pt>
                <c:pt idx="31">
                  <c:v>0.10200000000000001</c:v>
                </c:pt>
                <c:pt idx="32">
                  <c:v>0.11050000000000001</c:v>
                </c:pt>
                <c:pt idx="33">
                  <c:v>0.11050000000000001</c:v>
                </c:pt>
                <c:pt idx="34">
                  <c:v>0.11050000000000001</c:v>
                </c:pt>
                <c:pt idx="35">
                  <c:v>0.11899999999999999</c:v>
                </c:pt>
                <c:pt idx="36">
                  <c:v>0.11050000000000001</c:v>
                </c:pt>
                <c:pt idx="37">
                  <c:v>0.1275</c:v>
                </c:pt>
                <c:pt idx="38">
                  <c:v>0.1275</c:v>
                </c:pt>
                <c:pt idx="39">
                  <c:v>0.13600000000000001</c:v>
                </c:pt>
                <c:pt idx="40">
                  <c:v>0.1275</c:v>
                </c:pt>
                <c:pt idx="41">
                  <c:v>0.1275</c:v>
                </c:pt>
                <c:pt idx="42">
                  <c:v>0.11899999999999999</c:v>
                </c:pt>
                <c:pt idx="43">
                  <c:v>0.11050000000000001</c:v>
                </c:pt>
                <c:pt idx="44">
                  <c:v>0.10200000000000001</c:v>
                </c:pt>
                <c:pt idx="45">
                  <c:v>9.3500000000000014E-2</c:v>
                </c:pt>
                <c:pt idx="46">
                  <c:v>9.3500000000000014E-2</c:v>
                </c:pt>
                <c:pt idx="47">
                  <c:v>7.6500000000000012E-2</c:v>
                </c:pt>
                <c:pt idx="48">
                  <c:v>5.9499999999999997E-2</c:v>
                </c:pt>
                <c:pt idx="49">
                  <c:v>1.7000000000000001E-2</c:v>
                </c:pt>
                <c:pt idx="50">
                  <c:v>8.5000000000000006E-3</c:v>
                </c:pt>
                <c:pt idx="51">
                  <c:v>1.7000000000000001E-2</c:v>
                </c:pt>
                <c:pt idx="52">
                  <c:v>2.5500000000000002E-2</c:v>
                </c:pt>
                <c:pt idx="53">
                  <c:v>3.4000000000000002E-2</c:v>
                </c:pt>
                <c:pt idx="54">
                  <c:v>4.2500000000000003E-2</c:v>
                </c:pt>
                <c:pt idx="55">
                  <c:v>7.6500000000000012E-2</c:v>
                </c:pt>
                <c:pt idx="56">
                  <c:v>9.3500000000000014E-2</c:v>
                </c:pt>
                <c:pt idx="57">
                  <c:v>0.11899999999999999</c:v>
                </c:pt>
                <c:pt idx="58">
                  <c:v>0.13600000000000001</c:v>
                </c:pt>
                <c:pt idx="59">
                  <c:v>0.15300000000000002</c:v>
                </c:pt>
                <c:pt idx="60">
                  <c:v>0.14450000000000002</c:v>
                </c:pt>
                <c:pt idx="61">
                  <c:v>0.1615</c:v>
                </c:pt>
                <c:pt idx="62">
                  <c:v>0.1615</c:v>
                </c:pt>
                <c:pt idx="63">
                  <c:v>0.18700000000000003</c:v>
                </c:pt>
                <c:pt idx="64">
                  <c:v>0.17850000000000002</c:v>
                </c:pt>
                <c:pt idx="65">
                  <c:v>0.19550000000000001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2A-40D6-BC16-FFFBE3B406E4}"/>
            </c:ext>
          </c:extLst>
        </c:ser>
        <c:ser>
          <c:idx val="5"/>
          <c:order val="4"/>
          <c:tx>
            <c:strRef>
              <c:f>'[1]CPI-快报图2'!$W$4</c:f>
              <c:strCache>
                <c:ptCount val="1"/>
                <c:pt idx="0">
                  <c:v>教育文化和娱乐</c:v>
                </c:pt>
              </c:strCache>
            </c:strRef>
          </c:tx>
          <c:spPr>
            <a:solidFill>
              <a:srgbClr val="FFAA96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'[1]CPI-快报图2'!$W$5:$W$537</c:f>
              <c:numCache>
                <c:formatCode>General</c:formatCode>
                <c:ptCount val="533"/>
                <c:pt idx="0">
                  <c:v>0</c:v>
                </c:pt>
                <c:pt idx="1">
                  <c:v>6.7199999999999996E-2</c:v>
                </c:pt>
                <c:pt idx="2">
                  <c:v>4.48E-2</c:v>
                </c:pt>
                <c:pt idx="3">
                  <c:v>0.14559999999999998</c:v>
                </c:pt>
                <c:pt idx="4">
                  <c:v>0.16799999999999998</c:v>
                </c:pt>
                <c:pt idx="5">
                  <c:v>0.16799999999999998</c:v>
                </c:pt>
                <c:pt idx="6">
                  <c:v>0.3024</c:v>
                </c:pt>
                <c:pt idx="7">
                  <c:v>0.33599999999999997</c:v>
                </c:pt>
                <c:pt idx="8">
                  <c:v>0.3584</c:v>
                </c:pt>
                <c:pt idx="9">
                  <c:v>0.32479999999999998</c:v>
                </c:pt>
                <c:pt idx="10">
                  <c:v>0.33599999999999997</c:v>
                </c:pt>
                <c:pt idx="11">
                  <c:v>0.34719999999999995</c:v>
                </c:pt>
                <c:pt idx="12">
                  <c:v>0.32479999999999998</c:v>
                </c:pt>
                <c:pt idx="13">
                  <c:v>0.27999999999999997</c:v>
                </c:pt>
                <c:pt idx="14">
                  <c:v>0.29119999999999996</c:v>
                </c:pt>
                <c:pt idx="15">
                  <c:v>0.22399999999999998</c:v>
                </c:pt>
                <c:pt idx="16">
                  <c:v>0.20159999999999997</c:v>
                </c:pt>
                <c:pt idx="17">
                  <c:v>0.23519999999999999</c:v>
                </c:pt>
                <c:pt idx="18">
                  <c:v>0.16799999999999998</c:v>
                </c:pt>
                <c:pt idx="19">
                  <c:v>0.1792</c:v>
                </c:pt>
                <c:pt idx="20">
                  <c:v>0.13439999999999999</c:v>
                </c:pt>
                <c:pt idx="21">
                  <c:v>0.13439999999999999</c:v>
                </c:pt>
                <c:pt idx="22">
                  <c:v>0.14559999999999998</c:v>
                </c:pt>
                <c:pt idx="23">
                  <c:v>0.15679999999999997</c:v>
                </c:pt>
                <c:pt idx="24">
                  <c:v>0.26879999999999998</c:v>
                </c:pt>
                <c:pt idx="25">
                  <c:v>0.13439999999999999</c:v>
                </c:pt>
                <c:pt idx="26">
                  <c:v>0.15679999999999997</c:v>
                </c:pt>
                <c:pt idx="27">
                  <c:v>0.21279999999999996</c:v>
                </c:pt>
                <c:pt idx="28">
                  <c:v>0.19039999999999999</c:v>
                </c:pt>
                <c:pt idx="29">
                  <c:v>0.16799999999999998</c:v>
                </c:pt>
                <c:pt idx="30">
                  <c:v>0.26879999999999998</c:v>
                </c:pt>
                <c:pt idx="31">
                  <c:v>0.27999999999999997</c:v>
                </c:pt>
                <c:pt idx="32">
                  <c:v>0.27999999999999997</c:v>
                </c:pt>
                <c:pt idx="33">
                  <c:v>0.25759999999999994</c:v>
                </c:pt>
                <c:pt idx="34">
                  <c:v>0.20159999999999997</c:v>
                </c:pt>
                <c:pt idx="35">
                  <c:v>0.20159999999999997</c:v>
                </c:pt>
                <c:pt idx="36">
                  <c:v>0.14559999999999998</c:v>
                </c:pt>
                <c:pt idx="37">
                  <c:v>0.43679999999999997</c:v>
                </c:pt>
                <c:pt idx="38">
                  <c:v>0.20159999999999997</c:v>
                </c:pt>
                <c:pt idx="39">
                  <c:v>0.20159999999999997</c:v>
                </c:pt>
                <c:pt idx="40">
                  <c:v>0.19039999999999999</c:v>
                </c:pt>
                <c:pt idx="41">
                  <c:v>0.19039999999999999</c:v>
                </c:pt>
                <c:pt idx="42">
                  <c:v>0.19039999999999999</c:v>
                </c:pt>
                <c:pt idx="43">
                  <c:v>0.14559999999999998</c:v>
                </c:pt>
                <c:pt idx="44">
                  <c:v>6.7199999999999996E-2</c:v>
                </c:pt>
                <c:pt idx="45">
                  <c:v>8.9599999999999999E-2</c:v>
                </c:pt>
                <c:pt idx="46">
                  <c:v>0.11199999999999999</c:v>
                </c:pt>
                <c:pt idx="47">
                  <c:v>0.10079999999999999</c:v>
                </c:pt>
                <c:pt idx="48">
                  <c:v>0.19039999999999999</c:v>
                </c:pt>
                <c:pt idx="49">
                  <c:v>-5.5999999999999994E-2</c:v>
                </c:pt>
                <c:pt idx="50">
                  <c:v>8.9599999999999999E-2</c:v>
                </c:pt>
                <c:pt idx="51">
                  <c:v>7.8399999999999984E-2</c:v>
                </c:pt>
                <c:pt idx="52">
                  <c:v>0.10079999999999999</c:v>
                </c:pt>
                <c:pt idx="53">
                  <c:v>0.11199999999999999</c:v>
                </c:pt>
                <c:pt idx="54">
                  <c:v>0.10079999999999999</c:v>
                </c:pt>
                <c:pt idx="55">
                  <c:v>0.11199999999999999</c:v>
                </c:pt>
                <c:pt idx="56">
                  <c:v>8.9599999999999999E-2</c:v>
                </c:pt>
                <c:pt idx="57">
                  <c:v>0.10079999999999999</c:v>
                </c:pt>
                <c:pt idx="58">
                  <c:v>8.9599999999999999E-2</c:v>
                </c:pt>
                <c:pt idx="59">
                  <c:v>0.10079999999999999</c:v>
                </c:pt>
                <c:pt idx="60">
                  <c:v>0</c:v>
                </c:pt>
                <c:pt idx="61">
                  <c:v>0.22399999999999998</c:v>
                </c:pt>
                <c:pt idx="62">
                  <c:v>0.1232</c:v>
                </c:pt>
                <c:pt idx="63">
                  <c:v>0.14559999999999998</c:v>
                </c:pt>
                <c:pt idx="64">
                  <c:v>0.14559999999999998</c:v>
                </c:pt>
                <c:pt idx="65">
                  <c:v>0.15679999999999997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A-40D6-BC16-FFFBE3B406E4}"/>
            </c:ext>
          </c:extLst>
        </c:ser>
        <c:ser>
          <c:idx val="3"/>
          <c:order val="5"/>
          <c:tx>
            <c:strRef>
              <c:f>'[1]CPI-快报图2'!$U$4</c:f>
              <c:strCache>
                <c:ptCount val="1"/>
                <c:pt idx="0">
                  <c:v>生活用品及服务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'[1]CPI-快报图2'!$U$5:$U$537</c:f>
              <c:numCache>
                <c:formatCode>General</c:formatCode>
                <c:ptCount val="533"/>
                <c:pt idx="0">
                  <c:v>0</c:v>
                </c:pt>
                <c:pt idx="1">
                  <c:v>-1.2400000000000001E-2</c:v>
                </c:pt>
                <c:pt idx="2">
                  <c:v>0</c:v>
                </c:pt>
                <c:pt idx="3">
                  <c:v>2.4800000000000003E-2</c:v>
                </c:pt>
                <c:pt idx="4">
                  <c:v>2.4800000000000003E-2</c:v>
                </c:pt>
                <c:pt idx="5">
                  <c:v>1.8599999999999998E-2</c:v>
                </c:pt>
                <c:pt idx="6">
                  <c:v>1.8599999999999998E-2</c:v>
                </c:pt>
                <c:pt idx="7">
                  <c:v>3.7199999999999997E-2</c:v>
                </c:pt>
                <c:pt idx="8">
                  <c:v>3.1E-2</c:v>
                </c:pt>
                <c:pt idx="9">
                  <c:v>5.5800000000000002E-2</c:v>
                </c:pt>
                <c:pt idx="10">
                  <c:v>3.1E-2</c:v>
                </c:pt>
                <c:pt idx="11">
                  <c:v>4.9600000000000005E-2</c:v>
                </c:pt>
                <c:pt idx="12">
                  <c:v>2.4800000000000003E-2</c:v>
                </c:pt>
                <c:pt idx="13">
                  <c:v>3.7199999999999997E-2</c:v>
                </c:pt>
                <c:pt idx="14">
                  <c:v>5.5800000000000002E-2</c:v>
                </c:pt>
                <c:pt idx="15">
                  <c:v>7.4399999999999994E-2</c:v>
                </c:pt>
                <c:pt idx="16">
                  <c:v>8.6799999999999988E-2</c:v>
                </c:pt>
                <c:pt idx="17">
                  <c:v>9.2999999999999999E-2</c:v>
                </c:pt>
                <c:pt idx="18">
                  <c:v>8.6799999999999988E-2</c:v>
                </c:pt>
                <c:pt idx="19">
                  <c:v>8.0600000000000005E-2</c:v>
                </c:pt>
                <c:pt idx="20">
                  <c:v>8.6799999999999988E-2</c:v>
                </c:pt>
                <c:pt idx="21">
                  <c:v>8.6799999999999988E-2</c:v>
                </c:pt>
                <c:pt idx="22">
                  <c:v>9.2999999999999999E-2</c:v>
                </c:pt>
                <c:pt idx="23">
                  <c:v>9.2999999999999999E-2</c:v>
                </c:pt>
                <c:pt idx="24">
                  <c:v>9.920000000000001E-2</c:v>
                </c:pt>
                <c:pt idx="25">
                  <c:v>8.6799999999999988E-2</c:v>
                </c:pt>
                <c:pt idx="26">
                  <c:v>4.3399999999999994E-2</c:v>
                </c:pt>
                <c:pt idx="27">
                  <c:v>6.2000000000000006E-3</c:v>
                </c:pt>
                <c:pt idx="28">
                  <c:v>-6.2000000000000006E-3</c:v>
                </c:pt>
                <c:pt idx="29">
                  <c:v>-3.1E-2</c:v>
                </c:pt>
                <c:pt idx="30">
                  <c:v>-1.2400000000000001E-2</c:v>
                </c:pt>
                <c:pt idx="31">
                  <c:v>-3.1E-2</c:v>
                </c:pt>
                <c:pt idx="32">
                  <c:v>-2.4800000000000003E-2</c:v>
                </c:pt>
                <c:pt idx="33">
                  <c:v>-3.7199999999999997E-2</c:v>
                </c:pt>
                <c:pt idx="34">
                  <c:v>-3.1E-2</c:v>
                </c:pt>
                <c:pt idx="35">
                  <c:v>0</c:v>
                </c:pt>
                <c:pt idx="36">
                  <c:v>6.2E-2</c:v>
                </c:pt>
                <c:pt idx="37">
                  <c:v>3.1E-2</c:v>
                </c:pt>
                <c:pt idx="38">
                  <c:v>6.2E-2</c:v>
                </c:pt>
                <c:pt idx="39">
                  <c:v>8.6799999999999988E-2</c:v>
                </c:pt>
                <c:pt idx="40">
                  <c:v>4.9600000000000005E-2</c:v>
                </c:pt>
                <c:pt idx="41">
                  <c:v>5.5800000000000002E-2</c:v>
                </c:pt>
                <c:pt idx="42">
                  <c:v>4.3399999999999994E-2</c:v>
                </c:pt>
                <c:pt idx="43">
                  <c:v>1.2400000000000001E-2</c:v>
                </c:pt>
                <c:pt idx="44">
                  <c:v>6.2000000000000006E-3</c:v>
                </c:pt>
                <c:pt idx="45">
                  <c:v>6.2000000000000006E-3</c:v>
                </c:pt>
                <c:pt idx="46">
                  <c:v>-1.8599999999999998E-2</c:v>
                </c:pt>
                <c:pt idx="47">
                  <c:v>-4.3399999999999994E-2</c:v>
                </c:pt>
                <c:pt idx="48">
                  <c:v>-6.8200000000000011E-2</c:v>
                </c:pt>
                <c:pt idx="49">
                  <c:v>-4.3399999999999994E-2</c:v>
                </c:pt>
                <c:pt idx="50">
                  <c:v>3.7199999999999997E-2</c:v>
                </c:pt>
                <c:pt idx="51">
                  <c:v>1.2400000000000001E-2</c:v>
                </c:pt>
                <c:pt idx="52">
                  <c:v>6.2000000000000006E-3</c:v>
                </c:pt>
                <c:pt idx="53">
                  <c:v>4.3399999999999994E-2</c:v>
                </c:pt>
                <c:pt idx="54">
                  <c:v>7.4399999999999994E-2</c:v>
                </c:pt>
                <c:pt idx="55">
                  <c:v>0.1116</c:v>
                </c:pt>
                <c:pt idx="56">
                  <c:v>0.13640000000000002</c:v>
                </c:pt>
                <c:pt idx="57">
                  <c:v>0.11779999999999999</c:v>
                </c:pt>
                <c:pt idx="58">
                  <c:v>0.13020000000000001</c:v>
                </c:pt>
                <c:pt idx="59">
                  <c:v>0.13640000000000002</c:v>
                </c:pt>
                <c:pt idx="60">
                  <c:v>0.16120000000000001</c:v>
                </c:pt>
                <c:pt idx="61">
                  <c:v>0.17359999999999998</c:v>
                </c:pt>
                <c:pt idx="62">
                  <c:v>9.2999999999999999E-2</c:v>
                </c:pt>
                <c:pt idx="63">
                  <c:v>8.6799999999999988E-2</c:v>
                </c:pt>
                <c:pt idx="64">
                  <c:v>0.1116</c:v>
                </c:pt>
                <c:pt idx="65">
                  <c:v>8.0600000000000005E-2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2A-40D6-BC16-FFFBE3B406E4}"/>
            </c:ext>
          </c:extLst>
        </c:ser>
        <c:ser>
          <c:idx val="1"/>
          <c:order val="6"/>
          <c:tx>
            <c:strRef>
              <c:f>'[1]CPI-快报图2'!$S$4</c:f>
              <c:strCache>
                <c:ptCount val="1"/>
                <c:pt idx="0">
                  <c:v>衣着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'[1]CPI-快报图2'!$S$5:$S$537</c:f>
              <c:numCache>
                <c:formatCode>General</c:formatCode>
                <c:ptCount val="533"/>
                <c:pt idx="0">
                  <c:v>-1.3000000000000001E-2</c:v>
                </c:pt>
                <c:pt idx="1">
                  <c:v>-3.2500000000000001E-2</c:v>
                </c:pt>
                <c:pt idx="2">
                  <c:v>6.5000000000000006E-3</c:v>
                </c:pt>
                <c:pt idx="3">
                  <c:v>1.3000000000000001E-2</c:v>
                </c:pt>
                <c:pt idx="4">
                  <c:v>2.6000000000000002E-2</c:v>
                </c:pt>
                <c:pt idx="5">
                  <c:v>2.6000000000000002E-2</c:v>
                </c:pt>
                <c:pt idx="6">
                  <c:v>2.6000000000000002E-2</c:v>
                </c:pt>
                <c:pt idx="7">
                  <c:v>3.2500000000000001E-2</c:v>
                </c:pt>
                <c:pt idx="8">
                  <c:v>3.2500000000000001E-2</c:v>
                </c:pt>
                <c:pt idx="9">
                  <c:v>3.2500000000000001E-2</c:v>
                </c:pt>
                <c:pt idx="10">
                  <c:v>3.2500000000000001E-2</c:v>
                </c:pt>
                <c:pt idx="11">
                  <c:v>3.9E-2</c:v>
                </c:pt>
                <c:pt idx="12">
                  <c:v>2.6000000000000002E-2</c:v>
                </c:pt>
                <c:pt idx="13">
                  <c:v>3.9E-2</c:v>
                </c:pt>
                <c:pt idx="14">
                  <c:v>3.9E-2</c:v>
                </c:pt>
                <c:pt idx="15">
                  <c:v>3.2500000000000001E-2</c:v>
                </c:pt>
                <c:pt idx="16">
                  <c:v>3.2500000000000001E-2</c:v>
                </c:pt>
                <c:pt idx="17">
                  <c:v>3.9E-2</c:v>
                </c:pt>
                <c:pt idx="18">
                  <c:v>4.5499999999999999E-2</c:v>
                </c:pt>
                <c:pt idx="19">
                  <c:v>3.9E-2</c:v>
                </c:pt>
                <c:pt idx="20">
                  <c:v>3.2500000000000001E-2</c:v>
                </c:pt>
                <c:pt idx="21">
                  <c:v>3.2500000000000001E-2</c:v>
                </c:pt>
                <c:pt idx="22">
                  <c:v>3.2500000000000001E-2</c:v>
                </c:pt>
                <c:pt idx="23">
                  <c:v>3.2500000000000001E-2</c:v>
                </c:pt>
                <c:pt idx="24">
                  <c:v>3.2500000000000001E-2</c:v>
                </c:pt>
                <c:pt idx="25">
                  <c:v>4.5499999999999999E-2</c:v>
                </c:pt>
                <c:pt idx="26">
                  <c:v>5.2000000000000005E-2</c:v>
                </c:pt>
                <c:pt idx="27">
                  <c:v>5.8500000000000003E-2</c:v>
                </c:pt>
                <c:pt idx="28">
                  <c:v>5.8500000000000003E-2</c:v>
                </c:pt>
                <c:pt idx="29">
                  <c:v>5.8500000000000003E-2</c:v>
                </c:pt>
                <c:pt idx="30">
                  <c:v>6.5000000000000002E-2</c:v>
                </c:pt>
                <c:pt idx="31">
                  <c:v>7.1500000000000008E-2</c:v>
                </c:pt>
                <c:pt idx="32">
                  <c:v>7.1500000000000008E-2</c:v>
                </c:pt>
                <c:pt idx="33">
                  <c:v>7.1500000000000008E-2</c:v>
                </c:pt>
                <c:pt idx="34">
                  <c:v>8.4500000000000006E-2</c:v>
                </c:pt>
                <c:pt idx="35">
                  <c:v>9.0999999999999998E-2</c:v>
                </c:pt>
                <c:pt idx="36">
                  <c:v>0.10400000000000001</c:v>
                </c:pt>
                <c:pt idx="37">
                  <c:v>0.10400000000000001</c:v>
                </c:pt>
                <c:pt idx="38">
                  <c:v>0.10400000000000001</c:v>
                </c:pt>
                <c:pt idx="39">
                  <c:v>0.10400000000000001</c:v>
                </c:pt>
                <c:pt idx="40">
                  <c:v>0.10400000000000001</c:v>
                </c:pt>
                <c:pt idx="41">
                  <c:v>9.7500000000000003E-2</c:v>
                </c:pt>
                <c:pt idx="42">
                  <c:v>9.7500000000000003E-2</c:v>
                </c:pt>
                <c:pt idx="43">
                  <c:v>9.0999999999999998E-2</c:v>
                </c:pt>
                <c:pt idx="44">
                  <c:v>8.4500000000000006E-2</c:v>
                </c:pt>
                <c:pt idx="45">
                  <c:v>7.1500000000000008E-2</c:v>
                </c:pt>
                <c:pt idx="46">
                  <c:v>7.1500000000000008E-2</c:v>
                </c:pt>
                <c:pt idx="47">
                  <c:v>7.8E-2</c:v>
                </c:pt>
                <c:pt idx="48">
                  <c:v>7.1500000000000008E-2</c:v>
                </c:pt>
                <c:pt idx="49">
                  <c:v>7.8E-2</c:v>
                </c:pt>
                <c:pt idx="50">
                  <c:v>8.4500000000000006E-2</c:v>
                </c:pt>
                <c:pt idx="51">
                  <c:v>8.4500000000000006E-2</c:v>
                </c:pt>
                <c:pt idx="52">
                  <c:v>9.7500000000000003E-2</c:v>
                </c:pt>
                <c:pt idx="53">
                  <c:v>0.10400000000000001</c:v>
                </c:pt>
                <c:pt idx="54">
                  <c:v>0.1105</c:v>
                </c:pt>
                <c:pt idx="55">
                  <c:v>0.11700000000000001</c:v>
                </c:pt>
                <c:pt idx="56">
                  <c:v>0.1105</c:v>
                </c:pt>
                <c:pt idx="57">
                  <c:v>0.1105</c:v>
                </c:pt>
                <c:pt idx="58">
                  <c:v>0.1235</c:v>
                </c:pt>
                <c:pt idx="59">
                  <c:v>0.1105</c:v>
                </c:pt>
                <c:pt idx="60">
                  <c:v>0.1235</c:v>
                </c:pt>
                <c:pt idx="61">
                  <c:v>0.1235</c:v>
                </c:pt>
                <c:pt idx="62">
                  <c:v>0.10400000000000001</c:v>
                </c:pt>
                <c:pt idx="63">
                  <c:v>9.7500000000000003E-2</c:v>
                </c:pt>
                <c:pt idx="64">
                  <c:v>9.0999999999999998E-2</c:v>
                </c:pt>
                <c:pt idx="65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2A-40D6-BC16-FFFBE3B406E4}"/>
            </c:ext>
          </c:extLst>
        </c:ser>
        <c:ser>
          <c:idx val="7"/>
          <c:order val="7"/>
          <c:tx>
            <c:strRef>
              <c:f>'[1]CPI-快报图2'!$Y$4</c:f>
              <c:strCache>
                <c:ptCount val="1"/>
                <c:pt idx="0">
                  <c:v>其他用品和服务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'[1]CPI-快报图2'!$Y$5:$Y$537</c:f>
              <c:numCache>
                <c:formatCode>General</c:formatCode>
                <c:ptCount val="533"/>
                <c:pt idx="0">
                  <c:v>-2.1600000000000001E-2</c:v>
                </c:pt>
                <c:pt idx="1">
                  <c:v>-1.9200000000000002E-2</c:v>
                </c:pt>
                <c:pt idx="2">
                  <c:v>-3.6000000000000004E-2</c:v>
                </c:pt>
                <c:pt idx="3">
                  <c:v>-3.1200000000000002E-2</c:v>
                </c:pt>
                <c:pt idx="4">
                  <c:v>-2.1600000000000001E-2</c:v>
                </c:pt>
                <c:pt idx="5">
                  <c:v>-2.1600000000000001E-2</c:v>
                </c:pt>
                <c:pt idx="6">
                  <c:v>-3.1200000000000002E-2</c:v>
                </c:pt>
                <c:pt idx="7">
                  <c:v>-9.3600000000000003E-2</c:v>
                </c:pt>
                <c:pt idx="8">
                  <c:v>-6.7199999999999996E-2</c:v>
                </c:pt>
                <c:pt idx="9">
                  <c:v>-1.2E-2</c:v>
                </c:pt>
                <c:pt idx="10">
                  <c:v>-1.44E-2</c:v>
                </c:pt>
                <c:pt idx="11">
                  <c:v>-1.2E-2</c:v>
                </c:pt>
                <c:pt idx="12">
                  <c:v>-2.4000000000000002E-3</c:v>
                </c:pt>
                <c:pt idx="13">
                  <c:v>7.1999999999999998E-3</c:v>
                </c:pt>
                <c:pt idx="14">
                  <c:v>5.04E-2</c:v>
                </c:pt>
                <c:pt idx="15">
                  <c:v>4.0800000000000003E-2</c:v>
                </c:pt>
                <c:pt idx="16">
                  <c:v>4.3200000000000002E-2</c:v>
                </c:pt>
                <c:pt idx="17">
                  <c:v>4.0800000000000003E-2</c:v>
                </c:pt>
                <c:pt idx="18">
                  <c:v>2.1600000000000001E-2</c:v>
                </c:pt>
                <c:pt idx="19">
                  <c:v>5.2800000000000007E-2</c:v>
                </c:pt>
                <c:pt idx="20">
                  <c:v>3.8400000000000004E-2</c:v>
                </c:pt>
                <c:pt idx="21">
                  <c:v>4.5600000000000002E-2</c:v>
                </c:pt>
                <c:pt idx="22">
                  <c:v>5.5199999999999999E-2</c:v>
                </c:pt>
                <c:pt idx="23">
                  <c:v>6.7199999999999996E-2</c:v>
                </c:pt>
                <c:pt idx="24">
                  <c:v>7.4400000000000008E-2</c:v>
                </c:pt>
                <c:pt idx="25">
                  <c:v>6.2400000000000004E-2</c:v>
                </c:pt>
                <c:pt idx="26">
                  <c:v>0.06</c:v>
                </c:pt>
                <c:pt idx="27">
                  <c:v>8.4000000000000005E-2</c:v>
                </c:pt>
                <c:pt idx="28">
                  <c:v>7.4400000000000008E-2</c:v>
                </c:pt>
                <c:pt idx="29">
                  <c:v>5.7599999999999998E-2</c:v>
                </c:pt>
                <c:pt idx="30">
                  <c:v>9.8399999999999987E-2</c:v>
                </c:pt>
                <c:pt idx="31">
                  <c:v>9.1200000000000003E-2</c:v>
                </c:pt>
                <c:pt idx="32">
                  <c:v>9.3600000000000003E-2</c:v>
                </c:pt>
                <c:pt idx="33">
                  <c:v>8.6400000000000005E-2</c:v>
                </c:pt>
                <c:pt idx="34">
                  <c:v>7.2000000000000008E-2</c:v>
                </c:pt>
                <c:pt idx="35">
                  <c:v>6.9599999999999995E-2</c:v>
                </c:pt>
                <c:pt idx="36">
                  <c:v>6.9599999999999995E-2</c:v>
                </c:pt>
                <c:pt idx="37">
                  <c:v>7.2000000000000008E-2</c:v>
                </c:pt>
                <c:pt idx="38">
                  <c:v>6.480000000000001E-2</c:v>
                </c:pt>
                <c:pt idx="39">
                  <c:v>9.1200000000000003E-2</c:v>
                </c:pt>
                <c:pt idx="40">
                  <c:v>8.6400000000000005E-2</c:v>
                </c:pt>
                <c:pt idx="41">
                  <c:v>9.6000000000000002E-2</c:v>
                </c:pt>
                <c:pt idx="42">
                  <c:v>9.6000000000000002E-2</c:v>
                </c:pt>
                <c:pt idx="43">
                  <c:v>8.1600000000000006E-2</c:v>
                </c:pt>
                <c:pt idx="44">
                  <c:v>8.4000000000000005E-2</c:v>
                </c:pt>
                <c:pt idx="45">
                  <c:v>0.11280000000000001</c:v>
                </c:pt>
                <c:pt idx="46">
                  <c:v>0.12480000000000001</c:v>
                </c:pt>
                <c:pt idx="47">
                  <c:v>0.11760000000000001</c:v>
                </c:pt>
                <c:pt idx="48">
                  <c:v>0.12960000000000002</c:v>
                </c:pt>
                <c:pt idx="49">
                  <c:v>0.156</c:v>
                </c:pt>
                <c:pt idx="50">
                  <c:v>0.14880000000000002</c:v>
                </c:pt>
                <c:pt idx="51">
                  <c:v>0.15839999999999999</c:v>
                </c:pt>
                <c:pt idx="52">
                  <c:v>0.17519999999999999</c:v>
                </c:pt>
                <c:pt idx="53">
                  <c:v>0.19439999999999999</c:v>
                </c:pt>
                <c:pt idx="54">
                  <c:v>0.192</c:v>
                </c:pt>
                <c:pt idx="55">
                  <c:v>0.2064</c:v>
                </c:pt>
                <c:pt idx="56">
                  <c:v>0.23760000000000001</c:v>
                </c:pt>
                <c:pt idx="57">
                  <c:v>0.30720000000000003</c:v>
                </c:pt>
                <c:pt idx="58">
                  <c:v>0.34079999999999999</c:v>
                </c:pt>
                <c:pt idx="59">
                  <c:v>0.41759999999999997</c:v>
                </c:pt>
                <c:pt idx="60">
                  <c:v>0.31679999999999997</c:v>
                </c:pt>
                <c:pt idx="61">
                  <c:v>0.36960000000000004</c:v>
                </c:pt>
                <c:pt idx="62">
                  <c:v>0.32400000000000001</c:v>
                </c:pt>
                <c:pt idx="63">
                  <c:v>0.26400000000000001</c:v>
                </c:pt>
                <c:pt idx="64">
                  <c:v>0.23760000000000001</c:v>
                </c:pt>
                <c:pt idx="65">
                  <c:v>0.15839999999999999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2A-40D6-BC16-FFFBE3B4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578954111"/>
        <c:axId val="1578935391"/>
      </c:barChart>
      <c:lineChart>
        <c:grouping val="standard"/>
        <c:varyColors val="0"/>
        <c:ser>
          <c:idx val="8"/>
          <c:order val="8"/>
          <c:tx>
            <c:strRef>
              <c:f>'[1]CPI-快报图2'!$Z$4</c:f>
              <c:strCache>
                <c:ptCount val="1"/>
                <c:pt idx="0">
                  <c:v>CPI当月同比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'[1]CPI-快报图2'!$Q$5:$Q$537</c:f>
              <c:numCache>
                <c:formatCode>General</c:formatCode>
                <c:ptCount val="533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'[1]CPI-快报图2'!$Z$5:$Z$537</c:f>
              <c:numCache>
                <c:formatCode>General</c:formatCode>
                <c:ptCount val="533"/>
                <c:pt idx="0">
                  <c:v>-0.3</c:v>
                </c:pt>
                <c:pt idx="1">
                  <c:v>-0.2</c:v>
                </c:pt>
                <c:pt idx="2">
                  <c:v>0.4</c:v>
                </c:pt>
                <c:pt idx="3">
                  <c:v>0.9</c:v>
                </c:pt>
                <c:pt idx="4">
                  <c:v>1.3</c:v>
                </c:pt>
                <c:pt idx="5">
                  <c:v>1.1000000000000001</c:v>
                </c:pt>
                <c:pt idx="6">
                  <c:v>1</c:v>
                </c:pt>
                <c:pt idx="7">
                  <c:v>0.8</c:v>
                </c:pt>
                <c:pt idx="8">
                  <c:v>0.7</c:v>
                </c:pt>
                <c:pt idx="9">
                  <c:v>1.5</c:v>
                </c:pt>
                <c:pt idx="10">
                  <c:v>2.2999999999999998</c:v>
                </c:pt>
                <c:pt idx="11">
                  <c:v>1.5</c:v>
                </c:pt>
                <c:pt idx="12">
                  <c:v>0.9</c:v>
                </c:pt>
                <c:pt idx="13">
                  <c:v>0.9</c:v>
                </c:pt>
                <c:pt idx="14">
                  <c:v>1.5</c:v>
                </c:pt>
                <c:pt idx="15">
                  <c:v>2.1</c:v>
                </c:pt>
                <c:pt idx="16">
                  <c:v>2.1</c:v>
                </c:pt>
                <c:pt idx="17">
                  <c:v>2.5</c:v>
                </c:pt>
                <c:pt idx="18">
                  <c:v>2.7</c:v>
                </c:pt>
                <c:pt idx="19">
                  <c:v>2.5</c:v>
                </c:pt>
                <c:pt idx="20">
                  <c:v>2.8</c:v>
                </c:pt>
                <c:pt idx="21">
                  <c:v>2.1</c:v>
                </c:pt>
                <c:pt idx="22">
                  <c:v>1.6</c:v>
                </c:pt>
                <c:pt idx="23">
                  <c:v>1.8</c:v>
                </c:pt>
                <c:pt idx="24">
                  <c:v>2.1</c:v>
                </c:pt>
                <c:pt idx="25">
                  <c:v>1</c:v>
                </c:pt>
                <c:pt idx="26">
                  <c:v>0.7</c:v>
                </c:pt>
                <c:pt idx="27">
                  <c:v>0.1</c:v>
                </c:pt>
                <c:pt idx="28">
                  <c:v>0.2</c:v>
                </c:pt>
                <c:pt idx="29">
                  <c:v>0</c:v>
                </c:pt>
                <c:pt idx="30">
                  <c:v>-0.3</c:v>
                </c:pt>
                <c:pt idx="31">
                  <c:v>0.1</c:v>
                </c:pt>
                <c:pt idx="32">
                  <c:v>0</c:v>
                </c:pt>
                <c:pt idx="33">
                  <c:v>-0.2</c:v>
                </c:pt>
                <c:pt idx="34">
                  <c:v>-0.5</c:v>
                </c:pt>
                <c:pt idx="35">
                  <c:v>-0.3</c:v>
                </c:pt>
                <c:pt idx="36">
                  <c:v>-0.8</c:v>
                </c:pt>
                <c:pt idx="37">
                  <c:v>0.7</c:v>
                </c:pt>
                <c:pt idx="38">
                  <c:v>0.1</c:v>
                </c:pt>
                <c:pt idx="39">
                  <c:v>0.3</c:v>
                </c:pt>
                <c:pt idx="40">
                  <c:v>0.3</c:v>
                </c:pt>
                <c:pt idx="41">
                  <c:v>0.2</c:v>
                </c:pt>
                <c:pt idx="42">
                  <c:v>0.5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0.1</c:v>
                </c:pt>
                <c:pt idx="48">
                  <c:v>0.5</c:v>
                </c:pt>
                <c:pt idx="49">
                  <c:v>-0.7</c:v>
                </c:pt>
                <c:pt idx="50">
                  <c:v>-0.1</c:v>
                </c:pt>
                <c:pt idx="51">
                  <c:v>-0.1</c:v>
                </c:pt>
                <c:pt idx="52">
                  <c:v>-0.1</c:v>
                </c:pt>
                <c:pt idx="53">
                  <c:v>0.1</c:v>
                </c:pt>
                <c:pt idx="54">
                  <c:v>0</c:v>
                </c:pt>
                <c:pt idx="55">
                  <c:v>-0.4</c:v>
                </c:pt>
                <c:pt idx="56">
                  <c:v>-0.3</c:v>
                </c:pt>
                <c:pt idx="57">
                  <c:v>0.2</c:v>
                </c:pt>
                <c:pt idx="58">
                  <c:v>0.7</c:v>
                </c:pt>
                <c:pt idx="59">
                  <c:v>0.8</c:v>
                </c:pt>
                <c:pt idx="60">
                  <c:v>0.2</c:v>
                </c:pt>
                <c:pt idx="61">
                  <c:v>1.3</c:v>
                </c:pt>
                <c:pt idx="62">
                  <c:v>1</c:v>
                </c:pt>
                <c:pt idx="63">
                  <c:v>1.2</c:v>
                </c:pt>
                <c:pt idx="64">
                  <c:v>1.2</c:v>
                </c:pt>
                <c:pt idx="6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42A-40D6-BC16-FFFBE3B4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954111"/>
        <c:axId val="1578935391"/>
      </c:lineChart>
      <c:catAx>
        <c:axId val="1578954111"/>
        <c:scaling>
          <c:orientation val="minMax"/>
          <c:max val="66"/>
          <c:min val="30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578935391"/>
        <c:crosses val="autoZero"/>
        <c:auto val="1"/>
        <c:lblAlgn val="ctr"/>
        <c:lblOffset val="100"/>
        <c:tickLblSkip val="6"/>
        <c:noMultiLvlLbl val="0"/>
      </c:catAx>
      <c:valAx>
        <c:axId val="1578935391"/>
        <c:scaling>
          <c:orientation val="minMax"/>
          <c:max val="3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578954111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6.8793213290033822E-2"/>
          <c:y val="0.12844285737802785"/>
          <c:w val="0.90588235294117647"/>
          <c:h val="0.19616813339509032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600">
          <a:solidFill>
            <a:srgbClr val="000000"/>
          </a:solidFill>
          <a:latin typeface="Arial" panose="020B0604020202020204" pitchFamily="34" charset="0"/>
          <a:ea typeface="楷体_GB2312" panose="0201060903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920" b="1" i="0" u="none" strike="noStrike" kern="1200" spc="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r>
              <a:rPr lang="en-US" b="1"/>
              <a:t>CPI</a:t>
            </a:r>
            <a:r>
              <a:rPr lang="zh-CN" b="1"/>
              <a:t>环比（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layout>
        <c:manualLayout>
          <c:xMode val="edge"/>
          <c:yMode val="edge"/>
          <c:x val="0.3492816825115205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920" b="1" i="0" u="none" strike="noStrike" kern="1200" spc="0" baseline="0">
              <a:solidFill>
                <a:schemeClr val="tx1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90652705746185"/>
          <c:y val="7.4865079441185339E-2"/>
          <c:w val="0.83384009691096295"/>
          <c:h val="0.787921262989607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[1]快报图!$K$215</c:f>
              <c:strCache>
                <c:ptCount val="1"/>
                <c:pt idx="0">
                  <c:v>46142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[1]快报图!$L$14:$M$14</c:f>
              <c:strCache>
                <c:ptCount val="2"/>
                <c:pt idx="0">
                  <c:v>消费品</c:v>
                </c:pt>
                <c:pt idx="1">
                  <c:v>服务</c:v>
                </c:pt>
              </c:strCache>
            </c:strRef>
          </c:cat>
          <c:val>
            <c:numRef>
              <c:f>[1]快报图!$L$215:$M$215</c:f>
              <c:numCache>
                <c:formatCode>General</c:formatCode>
                <c:ptCount val="2"/>
                <c:pt idx="0">
                  <c:v>0.1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E-476F-9489-B07725170F68}"/>
            </c:ext>
          </c:extLst>
        </c:ser>
        <c:ser>
          <c:idx val="2"/>
          <c:order val="1"/>
          <c:tx>
            <c:strRef>
              <c:f>[1]快报图!$K$216</c:f>
              <c:strCache>
                <c:ptCount val="1"/>
                <c:pt idx="0">
                  <c:v>46173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[1]快报图!$L$14:$M$14</c:f>
              <c:strCache>
                <c:ptCount val="2"/>
                <c:pt idx="0">
                  <c:v>消费品</c:v>
                </c:pt>
                <c:pt idx="1">
                  <c:v>服务</c:v>
                </c:pt>
              </c:strCache>
            </c:strRef>
          </c:cat>
          <c:val>
            <c:numRef>
              <c:f>[1]快报图!$L$216:$M$216</c:f>
              <c:numCache>
                <c:formatCode>General</c:formatCode>
                <c:ptCount val="2"/>
                <c:pt idx="0">
                  <c:v>-0.2</c:v>
                </c:pt>
                <c:pt idx="1">
                  <c:v>-0.1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E-476F-9489-B07725170F68}"/>
            </c:ext>
          </c:extLst>
        </c:ser>
        <c:ser>
          <c:idx val="0"/>
          <c:order val="2"/>
          <c:tx>
            <c:strRef>
              <c:f>[1]快报图!$K$217</c:f>
              <c:strCache>
                <c:ptCount val="1"/>
                <c:pt idx="0">
                  <c:v>46203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[1]快报图!$L$14:$M$14</c:f>
              <c:strCache>
                <c:ptCount val="2"/>
                <c:pt idx="0">
                  <c:v>消费品</c:v>
                </c:pt>
                <c:pt idx="1">
                  <c:v>服务</c:v>
                </c:pt>
              </c:strCache>
              <c:extLst xmlns:c15="http://schemas.microsoft.com/office/drawing/2012/chart"/>
            </c:strRef>
          </c:cat>
          <c:val>
            <c:numRef>
              <c:f>[1]快报图!$L$217:$M$217</c:f>
              <c:numCache>
                <c:formatCode>General</c:formatCode>
                <c:ptCount val="2"/>
                <c:pt idx="0">
                  <c:v>-0.6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B6E-476F-9489-B0772517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58363776"/>
        <c:axId val="-1258372480"/>
        <c:extLst/>
      </c:barChart>
      <c:catAx>
        <c:axId val="-125836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72480"/>
        <c:crosses val="autoZero"/>
        <c:auto val="1"/>
        <c:lblAlgn val="ctr"/>
        <c:lblOffset val="100"/>
        <c:noMultiLvlLbl val="0"/>
      </c:catAx>
      <c:valAx>
        <c:axId val="-1258372480"/>
        <c:scaling>
          <c:orientation val="minMax"/>
        </c:scaling>
        <c:delete val="0"/>
        <c:axPos val="l"/>
        <c:numFmt formatCode="0.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637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9409469044110911"/>
          <c:y val="8.5961615468884686E-2"/>
          <c:w val="0.72182730825523267"/>
          <c:h val="0.11871222286616299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600" baseline="0">
          <a:solidFill>
            <a:schemeClr val="tx1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920" b="1" i="0" u="none" strike="noStrike" kern="1200" spc="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r>
              <a:rPr lang="en-US" b="1"/>
              <a:t>CPI</a:t>
            </a:r>
            <a:r>
              <a:rPr lang="zh-CN" b="1"/>
              <a:t>食品分项环比（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layout>
        <c:manualLayout>
          <c:xMode val="edge"/>
          <c:yMode val="edge"/>
          <c:x val="0.27143819652106088"/>
          <c:y val="1.54015801930289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920" b="1" i="0" u="none" strike="noStrike" kern="1200" spc="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2522186848941706E-2"/>
          <c:y val="0.10877823890346934"/>
          <c:w val="0.88573847900588243"/>
          <c:h val="0.6215432810690583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[1]快报图!$AA$204</c:f>
              <c:strCache>
                <c:ptCount val="1"/>
                <c:pt idx="0">
                  <c:v>46142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[1]快报图!$AB$14:$AJ$14</c:f>
              <c:strCache>
                <c:ptCount val="9"/>
                <c:pt idx="0">
                  <c:v>粮食</c:v>
                </c:pt>
                <c:pt idx="1">
                  <c:v>食用油</c:v>
                </c:pt>
                <c:pt idx="2">
                  <c:v>鲜菜</c:v>
                </c:pt>
                <c:pt idx="3">
                  <c:v>畜肉类</c:v>
                </c:pt>
                <c:pt idx="4">
                  <c:v>猪肉</c:v>
                </c:pt>
                <c:pt idx="5">
                  <c:v>水产品</c:v>
                </c:pt>
                <c:pt idx="6">
                  <c:v>蛋类</c:v>
                </c:pt>
                <c:pt idx="7">
                  <c:v>奶类</c:v>
                </c:pt>
                <c:pt idx="8">
                  <c:v>鲜果</c:v>
                </c:pt>
              </c:strCache>
            </c:strRef>
          </c:cat>
          <c:val>
            <c:numRef>
              <c:f>[1]快报图!$AB$204:$AJ$204</c:f>
              <c:numCache>
                <c:formatCode>General</c:formatCode>
                <c:ptCount val="9"/>
                <c:pt idx="0">
                  <c:v>0</c:v>
                </c:pt>
                <c:pt idx="1">
                  <c:v>-0.3</c:v>
                </c:pt>
                <c:pt idx="2">
                  <c:v>-6.4</c:v>
                </c:pt>
                <c:pt idx="3">
                  <c:v>-2.7</c:v>
                </c:pt>
                <c:pt idx="4">
                  <c:v>-5.7</c:v>
                </c:pt>
                <c:pt idx="5">
                  <c:v>-1.2</c:v>
                </c:pt>
                <c:pt idx="6">
                  <c:v>2.7</c:v>
                </c:pt>
                <c:pt idx="7">
                  <c:v>-0.3</c:v>
                </c:pt>
                <c:pt idx="8">
                  <c:v>-2.2999999999999998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3-44A3-A2F9-FC34105BD187}"/>
            </c:ext>
          </c:extLst>
        </c:ser>
        <c:ser>
          <c:idx val="2"/>
          <c:order val="1"/>
          <c:tx>
            <c:strRef>
              <c:f>[1]快报图!$AA$205</c:f>
              <c:strCache>
                <c:ptCount val="1"/>
                <c:pt idx="0">
                  <c:v>46173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[1]快报图!$AB$14:$AJ$14</c:f>
              <c:strCache>
                <c:ptCount val="9"/>
                <c:pt idx="0">
                  <c:v>粮食</c:v>
                </c:pt>
                <c:pt idx="1">
                  <c:v>食用油</c:v>
                </c:pt>
                <c:pt idx="2">
                  <c:v>鲜菜</c:v>
                </c:pt>
                <c:pt idx="3">
                  <c:v>畜肉类</c:v>
                </c:pt>
                <c:pt idx="4">
                  <c:v>猪肉</c:v>
                </c:pt>
                <c:pt idx="5">
                  <c:v>水产品</c:v>
                </c:pt>
                <c:pt idx="6">
                  <c:v>蛋类</c:v>
                </c:pt>
                <c:pt idx="7">
                  <c:v>奶类</c:v>
                </c:pt>
                <c:pt idx="8">
                  <c:v>鲜果</c:v>
                </c:pt>
              </c:strCache>
            </c:strRef>
          </c:cat>
          <c:val>
            <c:numRef>
              <c:f>[1]快报图!$AB$205:$AJ$205</c:f>
              <c:numCache>
                <c:formatCode>General</c:formatCode>
                <c:ptCount val="9"/>
                <c:pt idx="0">
                  <c:v>-0.2</c:v>
                </c:pt>
                <c:pt idx="1">
                  <c:v>-0.4</c:v>
                </c:pt>
                <c:pt idx="2">
                  <c:v>-3.6</c:v>
                </c:pt>
                <c:pt idx="3">
                  <c:v>-0.8</c:v>
                </c:pt>
                <c:pt idx="4">
                  <c:v>-1.6</c:v>
                </c:pt>
                <c:pt idx="5">
                  <c:v>0</c:v>
                </c:pt>
                <c:pt idx="6">
                  <c:v>5</c:v>
                </c:pt>
                <c:pt idx="7">
                  <c:v>-0.2</c:v>
                </c:pt>
                <c:pt idx="8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3-44A3-A2F9-FC34105BD187}"/>
            </c:ext>
          </c:extLst>
        </c:ser>
        <c:ser>
          <c:idx val="0"/>
          <c:order val="2"/>
          <c:tx>
            <c:strRef>
              <c:f>[1]快报图!$AA$206</c:f>
              <c:strCache>
                <c:ptCount val="1"/>
                <c:pt idx="0">
                  <c:v>46203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[1]快报图!$AB$14:$AJ$14</c:f>
              <c:strCache>
                <c:ptCount val="9"/>
                <c:pt idx="0">
                  <c:v>粮食</c:v>
                </c:pt>
                <c:pt idx="1">
                  <c:v>食用油</c:v>
                </c:pt>
                <c:pt idx="2">
                  <c:v>鲜菜</c:v>
                </c:pt>
                <c:pt idx="3">
                  <c:v>畜肉类</c:v>
                </c:pt>
                <c:pt idx="4">
                  <c:v>猪肉</c:v>
                </c:pt>
                <c:pt idx="5">
                  <c:v>水产品</c:v>
                </c:pt>
                <c:pt idx="6">
                  <c:v>蛋类</c:v>
                </c:pt>
                <c:pt idx="7">
                  <c:v>奶类</c:v>
                </c:pt>
                <c:pt idx="8">
                  <c:v>鲜果</c:v>
                </c:pt>
              </c:strCache>
              <c:extLst xmlns:c15="http://schemas.microsoft.com/office/drawing/2012/chart"/>
            </c:strRef>
          </c:cat>
          <c:val>
            <c:numRef>
              <c:f>[1]快报图!$AB$206:$AJ$206</c:f>
              <c:numCache>
                <c:formatCode>General</c:formatCode>
                <c:ptCount val="9"/>
                <c:pt idx="0">
                  <c:v>-0.1</c:v>
                </c:pt>
                <c:pt idx="1">
                  <c:v>0</c:v>
                </c:pt>
                <c:pt idx="2">
                  <c:v>-1</c:v>
                </c:pt>
                <c:pt idx="3">
                  <c:v>-0.5</c:v>
                </c:pt>
                <c:pt idx="4">
                  <c:v>-0.8</c:v>
                </c:pt>
                <c:pt idx="5">
                  <c:v>-0.6</c:v>
                </c:pt>
                <c:pt idx="6">
                  <c:v>5.8</c:v>
                </c:pt>
                <c:pt idx="7">
                  <c:v>-0.3</c:v>
                </c:pt>
                <c:pt idx="8">
                  <c:v>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493-44A3-A2F9-FC34105B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258364864"/>
        <c:axId val="-1258376832"/>
        <c:extLst/>
      </c:barChart>
      <c:catAx>
        <c:axId val="-125836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76832"/>
        <c:crosses val="autoZero"/>
        <c:auto val="1"/>
        <c:lblAlgn val="ctr"/>
        <c:lblOffset val="100"/>
        <c:noMultiLvlLbl val="0"/>
      </c:catAx>
      <c:valAx>
        <c:axId val="-1258376832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64864"/>
        <c:crosses val="autoZero"/>
        <c:crossBetween val="between"/>
        <c:majorUnit val="4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433533597560088"/>
          <c:y val="0.1131254989065613"/>
          <c:w val="0.69388291666476032"/>
          <c:h val="0.10900213307254571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6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920" b="1" i="0" u="none" strike="noStrike" kern="1200" spc="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r>
              <a:rPr lang="en-US" b="1"/>
              <a:t>PPI</a:t>
            </a:r>
            <a:r>
              <a:rPr lang="zh-CN" b="1"/>
              <a:t>生产资料环比（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layout>
        <c:manualLayout>
          <c:xMode val="edge"/>
          <c:yMode val="edge"/>
          <c:x val="0.289644440635042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920" b="1" i="0" u="none" strike="noStrike" kern="1200" spc="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822232978786019"/>
          <c:y val="9.3083880370475477E-2"/>
          <c:w val="0.83384009691096295"/>
          <c:h val="0.750242206235012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[1]快报图!$D$204</c:f>
              <c:strCache>
                <c:ptCount val="1"/>
                <c:pt idx="0">
                  <c:v>46142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[1]快报图!$E$14:$G$14</c:f>
              <c:strCache>
                <c:ptCount val="3"/>
                <c:pt idx="0">
                  <c:v>采掘</c:v>
                </c:pt>
                <c:pt idx="1">
                  <c:v>原材料</c:v>
                </c:pt>
                <c:pt idx="2">
                  <c:v>加工</c:v>
                </c:pt>
              </c:strCache>
            </c:strRef>
          </c:cat>
          <c:val>
            <c:numRef>
              <c:f>[1]快报图!$E$204:$G$204</c:f>
              <c:numCache>
                <c:formatCode>General</c:formatCode>
                <c:ptCount val="3"/>
                <c:pt idx="0">
                  <c:v>5.7</c:v>
                </c:pt>
                <c:pt idx="1">
                  <c:v>4.9000000000000004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7-43AE-9F9D-A41698B4882B}"/>
            </c:ext>
          </c:extLst>
        </c:ser>
        <c:ser>
          <c:idx val="2"/>
          <c:order val="1"/>
          <c:tx>
            <c:strRef>
              <c:f>[1]快报图!$D$205</c:f>
              <c:strCache>
                <c:ptCount val="1"/>
                <c:pt idx="0">
                  <c:v>46173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[1]快报图!$E$14:$G$14</c:f>
              <c:strCache>
                <c:ptCount val="3"/>
                <c:pt idx="0">
                  <c:v>采掘</c:v>
                </c:pt>
                <c:pt idx="1">
                  <c:v>原材料</c:v>
                </c:pt>
                <c:pt idx="2">
                  <c:v>加工</c:v>
                </c:pt>
              </c:strCache>
            </c:strRef>
          </c:cat>
          <c:val>
            <c:numRef>
              <c:f>[1]快报图!$E$205:$G$205</c:f>
              <c:numCache>
                <c:formatCode>General</c:formatCode>
                <c:ptCount val="3"/>
                <c:pt idx="0">
                  <c:v>1.5</c:v>
                </c:pt>
                <c:pt idx="1">
                  <c:v>0.9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7-43AE-9F9D-A41698B4882B}"/>
            </c:ext>
          </c:extLst>
        </c:ser>
        <c:ser>
          <c:idx val="0"/>
          <c:order val="2"/>
          <c:tx>
            <c:strRef>
              <c:f>[1]快报图!$D$206</c:f>
              <c:strCache>
                <c:ptCount val="1"/>
                <c:pt idx="0">
                  <c:v>46203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[1]快报图!$E$14:$G$14</c:f>
              <c:strCache>
                <c:ptCount val="3"/>
                <c:pt idx="0">
                  <c:v>采掘</c:v>
                </c:pt>
                <c:pt idx="1">
                  <c:v>原材料</c:v>
                </c:pt>
                <c:pt idx="2">
                  <c:v>加工</c:v>
                </c:pt>
              </c:strCache>
              <c:extLst xmlns:c15="http://schemas.microsoft.com/office/drawing/2012/chart"/>
            </c:strRef>
          </c:cat>
          <c:val>
            <c:numRef>
              <c:f>[1]快报图!$E$206:$G$206</c:f>
              <c:numCache>
                <c:formatCode>General</c:formatCode>
                <c:ptCount val="3"/>
                <c:pt idx="0">
                  <c:v>-0.9</c:v>
                </c:pt>
                <c:pt idx="1">
                  <c:v>-1.2</c:v>
                </c:pt>
                <c:pt idx="2">
                  <c:v>0.2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3157-43AE-9F9D-A41698B4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258378464"/>
        <c:axId val="-1258355072"/>
        <c:extLst/>
      </c:barChart>
      <c:catAx>
        <c:axId val="-125837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55072"/>
        <c:crosses val="autoZero"/>
        <c:auto val="1"/>
        <c:lblAlgn val="ctr"/>
        <c:lblOffset val="100"/>
        <c:noMultiLvlLbl val="0"/>
      </c:catAx>
      <c:valAx>
        <c:axId val="-1258355072"/>
        <c:scaling>
          <c:orientation val="minMax"/>
          <c:max val="7"/>
        </c:scaling>
        <c:delete val="0"/>
        <c:axPos val="l"/>
        <c:numFmt formatCode="0.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ysClr val="windowText" lastClr="000000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784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18700004398891484"/>
          <c:y val="0.12435130224106604"/>
          <c:w val="0.72808375489376664"/>
          <c:h val="0.1275432263274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ysClr val="windowText" lastClr="000000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600" baseline="0">
          <a:solidFill>
            <a:sysClr val="windowText" lastClr="000000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920" b="1" i="0" u="none" strike="noStrike" kern="1200" spc="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r>
              <a:rPr lang="en-US" b="1"/>
              <a:t>PPI</a:t>
            </a:r>
            <a:r>
              <a:rPr lang="zh-CN" b="1"/>
              <a:t>生活资料环比（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920" b="1" i="0" u="none" strike="noStrike" kern="1200" spc="0" baseline="0">
              <a:solidFill>
                <a:schemeClr val="tx1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87777341298214"/>
          <c:y val="5.3457894034432137E-2"/>
          <c:w val="0.86473627094690098"/>
          <c:h val="0.8021051159072739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[1]快报图!$R$204</c:f>
              <c:strCache>
                <c:ptCount val="1"/>
                <c:pt idx="0">
                  <c:v>46142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[1]快报图!$S$14:$V$14</c:f>
              <c:strCache>
                <c:ptCount val="4"/>
                <c:pt idx="0">
                  <c:v>食品</c:v>
                </c:pt>
                <c:pt idx="1">
                  <c:v>衣着</c:v>
                </c:pt>
                <c:pt idx="2">
                  <c:v>日用品</c:v>
                </c:pt>
                <c:pt idx="3">
                  <c:v>耐用消费品</c:v>
                </c:pt>
              </c:strCache>
            </c:strRef>
          </c:cat>
          <c:val>
            <c:numRef>
              <c:f>[1]快报图!$S$204:$V$204</c:f>
              <c:numCache>
                <c:formatCode>General</c:formatCode>
                <c:ptCount val="4"/>
                <c:pt idx="0">
                  <c:v>-0.4</c:v>
                </c:pt>
                <c:pt idx="1">
                  <c:v>-0.1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E-4991-A08D-C28C637F3834}"/>
            </c:ext>
          </c:extLst>
        </c:ser>
        <c:ser>
          <c:idx val="2"/>
          <c:order val="1"/>
          <c:tx>
            <c:strRef>
              <c:f>[1]快报图!$R$205</c:f>
              <c:strCache>
                <c:ptCount val="1"/>
                <c:pt idx="0">
                  <c:v>46173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[1]快报图!$S$14:$V$14</c:f>
              <c:strCache>
                <c:ptCount val="4"/>
                <c:pt idx="0">
                  <c:v>食品</c:v>
                </c:pt>
                <c:pt idx="1">
                  <c:v>衣着</c:v>
                </c:pt>
                <c:pt idx="2">
                  <c:v>日用品</c:v>
                </c:pt>
                <c:pt idx="3">
                  <c:v>耐用消费品</c:v>
                </c:pt>
              </c:strCache>
            </c:strRef>
          </c:cat>
          <c:val>
            <c:numRef>
              <c:f>[1]快报图!$S$205:$V$205</c:f>
              <c:numCache>
                <c:formatCode>General</c:formatCode>
                <c:ptCount val="4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E-4991-A08D-C28C637F3834}"/>
            </c:ext>
          </c:extLst>
        </c:ser>
        <c:ser>
          <c:idx val="0"/>
          <c:order val="2"/>
          <c:tx>
            <c:strRef>
              <c:f>[1]快报图!$R$206</c:f>
              <c:strCache>
                <c:ptCount val="1"/>
                <c:pt idx="0">
                  <c:v>46203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[1]快报图!$S$14:$V$14</c:f>
              <c:strCache>
                <c:ptCount val="4"/>
                <c:pt idx="0">
                  <c:v>食品</c:v>
                </c:pt>
                <c:pt idx="1">
                  <c:v>衣着</c:v>
                </c:pt>
                <c:pt idx="2">
                  <c:v>日用品</c:v>
                </c:pt>
                <c:pt idx="3">
                  <c:v>耐用消费品</c:v>
                </c:pt>
              </c:strCache>
              <c:extLst xmlns:c15="http://schemas.microsoft.com/office/drawing/2012/chart"/>
            </c:strRef>
          </c:cat>
          <c:val>
            <c:numRef>
              <c:f>[1]快报图!$S$206:$V$206</c:f>
              <c:numCache>
                <c:formatCode>General</c:formatCode>
                <c:ptCount val="4"/>
                <c:pt idx="0">
                  <c:v>-0.8</c:v>
                </c:pt>
                <c:pt idx="1">
                  <c:v>0</c:v>
                </c:pt>
                <c:pt idx="2">
                  <c:v>-0.1</c:v>
                </c:pt>
                <c:pt idx="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E3E-4991-A08D-C28C637F3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258353440"/>
        <c:axId val="-1258367584"/>
        <c:extLst/>
      </c:barChart>
      <c:catAx>
        <c:axId val="-125835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67584"/>
        <c:crosses val="autoZero"/>
        <c:auto val="1"/>
        <c:lblAlgn val="ctr"/>
        <c:lblOffset val="100"/>
        <c:noMultiLvlLbl val="0"/>
      </c:catAx>
      <c:valAx>
        <c:axId val="-1258367584"/>
        <c:scaling>
          <c:orientation val="minMax"/>
          <c:max val="0.5"/>
        </c:scaling>
        <c:delete val="0"/>
        <c:axPos val="l"/>
        <c:numFmt formatCode="0.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tx1"/>
                </a:solidFill>
                <a:latin typeface="Arial" panose="020B0604020202020204"/>
                <a:ea typeface="楷体_GB2312" panose="02010609030101010101" pitchFamily="49" charset="-122"/>
                <a:cs typeface="Arial" panose="020B0604020202020204"/>
              </a:defRPr>
            </a:pPr>
            <a:endParaRPr lang="zh-CN"/>
          </a:p>
        </c:txPr>
        <c:crossAx val="-12583534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1875798575575931"/>
          <c:y val="0.14318459804238295"/>
          <c:w val="0.71704254474821927"/>
          <c:h val="0.12046892640649443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0" i="0" u="none" strike="noStrike" kern="1200" baseline="0">
              <a:solidFill>
                <a:schemeClr val="tx1"/>
              </a:solidFill>
              <a:latin typeface="Arial" panose="020B0604020202020204"/>
              <a:ea typeface="楷体_GB2312" panose="02010609030101010101" pitchFamily="49" charset="-122"/>
              <a:cs typeface="Arial" panose="020B0604020202020204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600" baseline="0">
          <a:solidFill>
            <a:schemeClr val="tx1"/>
          </a:solidFill>
          <a:latin typeface="Arial" panose="020B0604020202020204"/>
          <a:ea typeface="楷体_GB2312" panose="02010609030101010101" pitchFamily="49" charset="-122"/>
          <a:cs typeface="Arial" panose="020B0604020202020204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r>
              <a:rPr lang="en-US" b="1"/>
              <a:t>PPI</a:t>
            </a:r>
            <a:r>
              <a:rPr lang="zh-CN" b="1"/>
              <a:t>同比贡献拆分（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2135343151913041E-2"/>
          <c:y val="0.20954339764267066"/>
          <c:w val="0.95271579505170478"/>
          <c:h val="0.6559400301238185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'[1]PPI-快报图3'!$E$95</c:f>
              <c:strCache>
                <c:ptCount val="1"/>
                <c:pt idx="0">
                  <c:v>上游材料</c:v>
                </c:pt>
              </c:strCache>
            </c:strRef>
          </c:tx>
          <c:spPr>
            <a:solidFill>
              <a:srgbClr val="B34845"/>
            </a:solidFill>
            <a:ln w="25400">
              <a:noFill/>
            </a:ln>
            <a:effectLst/>
          </c:spPr>
          <c:invertIfNegative val="0"/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'[1]PPI-快报图3'!$E$96:$E$313</c:f>
              <c:numCache>
                <c:formatCode>General</c:formatCode>
                <c:ptCount val="218"/>
                <c:pt idx="0">
                  <c:v>0.80652790217991721</c:v>
                </c:pt>
                <c:pt idx="1">
                  <c:v>1.9755943610859545</c:v>
                </c:pt>
                <c:pt idx="2">
                  <c:v>4.5000929425103786</c:v>
                </c:pt>
                <c:pt idx="3">
                  <c:v>6.6748075492353447</c:v>
                </c:pt>
                <c:pt idx="4">
                  <c:v>8.4289605641908878</c:v>
                </c:pt>
                <c:pt idx="5">
                  <c:v>8.047856721949465</c:v>
                </c:pt>
                <c:pt idx="6">
                  <c:v>7.7760066508093386</c:v>
                </c:pt>
                <c:pt idx="7">
                  <c:v>8.0183743721911895</c:v>
                </c:pt>
                <c:pt idx="8">
                  <c:v>8.7690449664271863</c:v>
                </c:pt>
                <c:pt idx="9">
                  <c:v>10.956911795040812</c:v>
                </c:pt>
                <c:pt idx="10">
                  <c:v>10.030116158748768</c:v>
                </c:pt>
                <c:pt idx="11">
                  <c:v>7.4983614498490221</c:v>
                </c:pt>
                <c:pt idx="12">
                  <c:v>6.2566852109477455</c:v>
                </c:pt>
                <c:pt idx="13">
                  <c:v>5.9697724290446619</c:v>
                </c:pt>
                <c:pt idx="14">
                  <c:v>5.2788134570459944</c:v>
                </c:pt>
                <c:pt idx="15">
                  <c:v>4.9485302428277365</c:v>
                </c:pt>
                <c:pt idx="16">
                  <c:v>3.5557593231656619</c:v>
                </c:pt>
                <c:pt idx="17">
                  <c:v>3.1541704727607378</c:v>
                </c:pt>
                <c:pt idx="18">
                  <c:v>1.6883188055183205</c:v>
                </c:pt>
                <c:pt idx="19">
                  <c:v>0.10802104509842411</c:v>
                </c:pt>
                <c:pt idx="20">
                  <c:v>-0.96209107532442451</c:v>
                </c:pt>
                <c:pt idx="21">
                  <c:v>-2.6392705432482906</c:v>
                </c:pt>
                <c:pt idx="22">
                  <c:v>-2.6898189446640743</c:v>
                </c:pt>
                <c:pt idx="23">
                  <c:v>-1.9426160439442559</c:v>
                </c:pt>
                <c:pt idx="24">
                  <c:v>-1.8541241663943671</c:v>
                </c:pt>
                <c:pt idx="25">
                  <c:v>-2.1121148262967182</c:v>
                </c:pt>
                <c:pt idx="26">
                  <c:v>-2.7669865631510051</c:v>
                </c:pt>
                <c:pt idx="27">
                  <c:v>-3.4027117486377678</c:v>
                </c:pt>
                <c:pt idx="28">
                  <c:v>-4.0286319294942716</c:v>
                </c:pt>
                <c:pt idx="29">
                  <c:v>-4.3602458093775036</c:v>
                </c:pt>
                <c:pt idx="30">
                  <c:v>-3.4123005641528628</c:v>
                </c:pt>
                <c:pt idx="31">
                  <c:v>-2.2339045486659463</c:v>
                </c:pt>
                <c:pt idx="32">
                  <c:v>-1.675129583008206</c:v>
                </c:pt>
                <c:pt idx="33">
                  <c:v>-1.5772081295752418</c:v>
                </c:pt>
                <c:pt idx="34">
                  <c:v>-1.5144731027180756</c:v>
                </c:pt>
                <c:pt idx="35">
                  <c:v>-1.4832728262978139</c:v>
                </c:pt>
                <c:pt idx="36">
                  <c:v>-1.45636715813883</c:v>
                </c:pt>
                <c:pt idx="37">
                  <c:v>-1.6925996587220367</c:v>
                </c:pt>
                <c:pt idx="38">
                  <c:v>-1.7991638547035815</c:v>
                </c:pt>
                <c:pt idx="39">
                  <c:v>-1.5869744857700463</c:v>
                </c:pt>
                <c:pt idx="40">
                  <c:v>-0.53569575363809985</c:v>
                </c:pt>
                <c:pt idx="41">
                  <c:v>0.10888054122977267</c:v>
                </c:pt>
                <c:pt idx="42">
                  <c:v>0.10540147307052451</c:v>
                </c:pt>
                <c:pt idx="43">
                  <c:v>-0.83013007600966371</c:v>
                </c:pt>
                <c:pt idx="44">
                  <c:v>-1.7020463894875224</c:v>
                </c:pt>
                <c:pt idx="45">
                  <c:v>-1.5745049358205983</c:v>
                </c:pt>
                <c:pt idx="46">
                  <c:v>-1.2990739768694393</c:v>
                </c:pt>
                <c:pt idx="47">
                  <c:v>-1.216443808774472</c:v>
                </c:pt>
                <c:pt idx="48">
                  <c:v>-1.1901526237769611</c:v>
                </c:pt>
                <c:pt idx="49">
                  <c:v>-1.152177890738137</c:v>
                </c:pt>
                <c:pt idx="50">
                  <c:v>-1.2255377902562865</c:v>
                </c:pt>
                <c:pt idx="51">
                  <c:v>-1.4348767385176229</c:v>
                </c:pt>
                <c:pt idx="52">
                  <c:v>-2.0711369479418922</c:v>
                </c:pt>
                <c:pt idx="53">
                  <c:v>-2.3647440376068536</c:v>
                </c:pt>
                <c:pt idx="54">
                  <c:v>-2.2492141071225835</c:v>
                </c:pt>
                <c:pt idx="55">
                  <c:v>-1.4826982322661724</c:v>
                </c:pt>
                <c:pt idx="56">
                  <c:v>-0.9056702826659494</c:v>
                </c:pt>
                <c:pt idx="57">
                  <c:v>-1.1017972849116922</c:v>
                </c:pt>
                <c:pt idx="58">
                  <c:v>-1.2598115695685106</c:v>
                </c:pt>
                <c:pt idx="59">
                  <c:v>-1.0531391667760819</c:v>
                </c:pt>
                <c:pt idx="60">
                  <c:v>-0.68898475225282951</c:v>
                </c:pt>
                <c:pt idx="61">
                  <c:v>-0.2548012374846832</c:v>
                </c:pt>
                <c:pt idx="62">
                  <c:v>0.4750500958551882</c:v>
                </c:pt>
                <c:pt idx="63">
                  <c:v>2.1635339373577809</c:v>
                </c:pt>
                <c:pt idx="64">
                  <c:v>2.9791408166740214</c:v>
                </c:pt>
                <c:pt idx="65">
                  <c:v>3.0288285951286729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5-4671-AF03-50C75D53E6E6}"/>
            </c:ext>
          </c:extLst>
        </c:ser>
        <c:ser>
          <c:idx val="4"/>
          <c:order val="1"/>
          <c:tx>
            <c:strRef>
              <c:f>'[1]PPI-快报图3'!$H$95</c:f>
              <c:strCache>
                <c:ptCount val="1"/>
                <c:pt idx="0">
                  <c:v>上游采矿</c:v>
                </c:pt>
              </c:strCache>
            </c:strRef>
          </c:tx>
          <c:spPr>
            <a:solidFill>
              <a:srgbClr val="D99D25"/>
            </a:solidFill>
            <a:ln w="25400">
              <a:noFill/>
            </a:ln>
            <a:effectLst/>
          </c:spPr>
          <c:invertIfNegative val="0"/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'[1]PPI-快报图3'!$H$96:$H$313</c:f>
              <c:numCache>
                <c:formatCode>General</c:formatCode>
                <c:ptCount val="218"/>
                <c:pt idx="0">
                  <c:v>-2.4431788025034862E-2</c:v>
                </c:pt>
                <c:pt idx="1">
                  <c:v>0.11818672012086487</c:v>
                </c:pt>
                <c:pt idx="2">
                  <c:v>0.36695332758045013</c:v>
                </c:pt>
                <c:pt idx="3">
                  <c:v>0.83458706484699152</c:v>
                </c:pt>
                <c:pt idx="4">
                  <c:v>0.9803188178500708</c:v>
                </c:pt>
                <c:pt idx="5">
                  <c:v>0.67777366814923012</c:v>
                </c:pt>
                <c:pt idx="6">
                  <c:v>0.64272787293820088</c:v>
                </c:pt>
                <c:pt idx="7">
                  <c:v>0.55013940194943256</c:v>
                </c:pt>
                <c:pt idx="8">
                  <c:v>0.49264929401643393</c:v>
                </c:pt>
                <c:pt idx="9">
                  <c:v>0.56211456473041466</c:v>
                </c:pt>
                <c:pt idx="10">
                  <c:v>0.59614221713331039</c:v>
                </c:pt>
                <c:pt idx="11">
                  <c:v>0.37870965765418035</c:v>
                </c:pt>
                <c:pt idx="12">
                  <c:v>0.30576986799366324</c:v>
                </c:pt>
                <c:pt idx="13">
                  <c:v>0.3318563394933397</c:v>
                </c:pt>
                <c:pt idx="14">
                  <c:v>0.37068647383497483</c:v>
                </c:pt>
                <c:pt idx="15">
                  <c:v>0.38934436778624171</c:v>
                </c:pt>
                <c:pt idx="16">
                  <c:v>0.348805717798575</c:v>
                </c:pt>
                <c:pt idx="17">
                  <c:v>0.36145918162230645</c:v>
                </c:pt>
                <c:pt idx="18">
                  <c:v>0.24546954647980038</c:v>
                </c:pt>
                <c:pt idx="19">
                  <c:v>0.15682241455861509</c:v>
                </c:pt>
                <c:pt idx="20">
                  <c:v>0.14574232522303415</c:v>
                </c:pt>
                <c:pt idx="21">
                  <c:v>9.797968335567464E-2</c:v>
                </c:pt>
                <c:pt idx="22">
                  <c:v>7.5076806769778529E-2</c:v>
                </c:pt>
                <c:pt idx="23">
                  <c:v>0.10136877270651978</c:v>
                </c:pt>
                <c:pt idx="24">
                  <c:v>4.4848734165718593E-2</c:v>
                </c:pt>
                <c:pt idx="25">
                  <c:v>-1.5724710907737006E-2</c:v>
                </c:pt>
                <c:pt idx="26">
                  <c:v>-0.11502191179058288</c:v>
                </c:pt>
                <c:pt idx="27">
                  <c:v>-0.14504509902572621</c:v>
                </c:pt>
                <c:pt idx="28">
                  <c:v>-0.18957096799222276</c:v>
                </c:pt>
                <c:pt idx="29">
                  <c:v>-0.23297343278037644</c:v>
                </c:pt>
                <c:pt idx="30">
                  <c:v>-0.17449536797228141</c:v>
                </c:pt>
                <c:pt idx="31">
                  <c:v>-5.6925459866055919E-2</c:v>
                </c:pt>
                <c:pt idx="32">
                  <c:v>2.6381386164126504E-2</c:v>
                </c:pt>
                <c:pt idx="33">
                  <c:v>7.6683985077250286E-2</c:v>
                </c:pt>
                <c:pt idx="34">
                  <c:v>5.9533334992605401E-2</c:v>
                </c:pt>
                <c:pt idx="35">
                  <c:v>7.7637516174545854E-2</c:v>
                </c:pt>
                <c:pt idx="36">
                  <c:v>0.1083693246597589</c:v>
                </c:pt>
                <c:pt idx="37">
                  <c:v>8.8342323927555866E-2</c:v>
                </c:pt>
                <c:pt idx="38">
                  <c:v>7.7160885437278323E-2</c:v>
                </c:pt>
                <c:pt idx="39">
                  <c:v>8.3291022074466564E-2</c:v>
                </c:pt>
                <c:pt idx="40">
                  <c:v>0.1197664817681143</c:v>
                </c:pt>
                <c:pt idx="41">
                  <c:v>0.12747251080480987</c:v>
                </c:pt>
                <c:pt idx="42">
                  <c:v>0.11872823004334233</c:v>
                </c:pt>
                <c:pt idx="43">
                  <c:v>3.3561773276025358E-2</c:v>
                </c:pt>
                <c:pt idx="44">
                  <c:v>-4.960086324829191E-2</c:v>
                </c:pt>
                <c:pt idx="45">
                  <c:v>-9.028836218685371E-2</c:v>
                </c:pt>
                <c:pt idx="46">
                  <c:v>-7.7392201356082158E-2</c:v>
                </c:pt>
                <c:pt idx="47">
                  <c:v>-4.0061302762824422E-2</c:v>
                </c:pt>
                <c:pt idx="48">
                  <c:v>-1.5497126739809328E-2</c:v>
                </c:pt>
                <c:pt idx="49">
                  <c:v>-2.0773330497746916E-2</c:v>
                </c:pt>
                <c:pt idx="50">
                  <c:v>-4.8466701014386347E-2</c:v>
                </c:pt>
                <c:pt idx="51">
                  <c:v>-7.398655759742101E-2</c:v>
                </c:pt>
                <c:pt idx="52">
                  <c:v>-0.11365046971131493</c:v>
                </c:pt>
                <c:pt idx="53">
                  <c:v>-9.9106388532993389E-2</c:v>
                </c:pt>
                <c:pt idx="54">
                  <c:v>-0.10625164304726527</c:v>
                </c:pt>
                <c:pt idx="55">
                  <c:v>-7.0400717750827124E-2</c:v>
                </c:pt>
                <c:pt idx="56">
                  <c:v>-2.791469105780861E-2</c:v>
                </c:pt>
                <c:pt idx="57">
                  <c:v>-7.0729193466694679E-3</c:v>
                </c:pt>
                <c:pt idx="58">
                  <c:v>-1.5480441280293043E-2</c:v>
                </c:pt>
                <c:pt idx="59">
                  <c:v>-1.6702643401953474E-2</c:v>
                </c:pt>
                <c:pt idx="60">
                  <c:v>-5.708403994279658E-2</c:v>
                </c:pt>
                <c:pt idx="61">
                  <c:v>-1.8276597955006975E-2</c:v>
                </c:pt>
                <c:pt idx="62">
                  <c:v>0.12858567039244859</c:v>
                </c:pt>
                <c:pt idx="63">
                  <c:v>0.30905266904458184</c:v>
                </c:pt>
                <c:pt idx="64">
                  <c:v>0.36442823416072895</c:v>
                </c:pt>
                <c:pt idx="65">
                  <c:v>0.20568170242517936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5-4671-AF03-50C75D53E6E6}"/>
            </c:ext>
          </c:extLst>
        </c:ser>
        <c:ser>
          <c:idx val="2"/>
          <c:order val="2"/>
          <c:tx>
            <c:strRef>
              <c:f>'[1]PPI-快报图3'!$F$95</c:f>
              <c:strCache>
                <c:ptCount val="1"/>
                <c:pt idx="0">
                  <c:v>公用事业</c:v>
                </c:pt>
              </c:strCache>
            </c:strRef>
          </c:tx>
          <c:spPr>
            <a:solidFill>
              <a:srgbClr val="6995A9"/>
            </a:solidFill>
            <a:ln w="25400">
              <a:noFill/>
            </a:ln>
            <a:effectLst/>
          </c:spPr>
          <c:invertIfNegative val="0"/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'[1]PPI-快报图3'!$F$96:$F$313</c:f>
              <c:numCache>
                <c:formatCode>General</c:formatCode>
                <c:ptCount val="218"/>
                <c:pt idx="0">
                  <c:v>-0.12955584183310132</c:v>
                </c:pt>
                <c:pt idx="1">
                  <c:v>-9.4147455570546393E-2</c:v>
                </c:pt>
                <c:pt idx="2">
                  <c:v>-3.776350884955073E-2</c:v>
                </c:pt>
                <c:pt idx="3">
                  <c:v>-9.1404264192450693E-3</c:v>
                </c:pt>
                <c:pt idx="4">
                  <c:v>-1.0765634003258525E-2</c:v>
                </c:pt>
                <c:pt idx="5">
                  <c:v>-1.1391905372594432E-2</c:v>
                </c:pt>
                <c:pt idx="6">
                  <c:v>1.9240086833137909E-2</c:v>
                </c:pt>
                <c:pt idx="7">
                  <c:v>3.8925615173062728E-2</c:v>
                </c:pt>
                <c:pt idx="8">
                  <c:v>0.10505859992892484</c:v>
                </c:pt>
                <c:pt idx="9">
                  <c:v>0.15929471133021758</c:v>
                </c:pt>
                <c:pt idx="10">
                  <c:v>0.29209655339291718</c:v>
                </c:pt>
                <c:pt idx="11">
                  <c:v>0.486685007602771</c:v>
                </c:pt>
                <c:pt idx="12">
                  <c:v>0.67655000942014643</c:v>
                </c:pt>
                <c:pt idx="13">
                  <c:v>0.73967956312433292</c:v>
                </c:pt>
                <c:pt idx="14">
                  <c:v>0.81369160168391097</c:v>
                </c:pt>
                <c:pt idx="15">
                  <c:v>0.90228201399952257</c:v>
                </c:pt>
                <c:pt idx="16">
                  <c:v>0.94457272532033021</c:v>
                </c:pt>
                <c:pt idx="17">
                  <c:v>0.93401437858436465</c:v>
                </c:pt>
                <c:pt idx="18">
                  <c:v>0.83409159274231814</c:v>
                </c:pt>
                <c:pt idx="19">
                  <c:v>0.87265999535453931</c:v>
                </c:pt>
                <c:pt idx="20">
                  <c:v>0.91725071235461209</c:v>
                </c:pt>
                <c:pt idx="21">
                  <c:v>0.83137925759448084</c:v>
                </c:pt>
                <c:pt idx="22">
                  <c:v>0.69958518162331607</c:v>
                </c:pt>
                <c:pt idx="23">
                  <c:v>0.46509862805949448</c:v>
                </c:pt>
                <c:pt idx="24">
                  <c:v>0.29622022404663129</c:v>
                </c:pt>
                <c:pt idx="25">
                  <c:v>0.30663523029989215</c:v>
                </c:pt>
                <c:pt idx="26">
                  <c:v>0.20963430656801796</c:v>
                </c:pt>
                <c:pt idx="27">
                  <c:v>0.13408745924278692</c:v>
                </c:pt>
                <c:pt idx="28">
                  <c:v>0.11602713848687556</c:v>
                </c:pt>
                <c:pt idx="29">
                  <c:v>8.3150289735436797E-2</c:v>
                </c:pt>
                <c:pt idx="30">
                  <c:v>0.12319614451053806</c:v>
                </c:pt>
                <c:pt idx="31">
                  <c:v>0.11841754298450116</c:v>
                </c:pt>
                <c:pt idx="32">
                  <c:v>2.4896358783290662E-2</c:v>
                </c:pt>
                <c:pt idx="33">
                  <c:v>4.8227133135239752E-3</c:v>
                </c:pt>
                <c:pt idx="34">
                  <c:v>-8.4925427983970125E-2</c:v>
                </c:pt>
                <c:pt idx="35">
                  <c:v>-7.0113314926871381E-2</c:v>
                </c:pt>
                <c:pt idx="36">
                  <c:v>-3.7856115137125564E-2</c:v>
                </c:pt>
                <c:pt idx="37">
                  <c:v>-0.21098607800190755</c:v>
                </c:pt>
                <c:pt idx="38">
                  <c:v>-0.14933839139902963</c:v>
                </c:pt>
                <c:pt idx="39">
                  <c:v>-0.16492011630816919</c:v>
                </c:pt>
                <c:pt idx="40">
                  <c:v>-0.13715925201747917</c:v>
                </c:pt>
                <c:pt idx="41">
                  <c:v>-0.14671645506955291</c:v>
                </c:pt>
                <c:pt idx="42">
                  <c:v>-0.13567738491617057</c:v>
                </c:pt>
                <c:pt idx="43">
                  <c:v>-0.15952407328965365</c:v>
                </c:pt>
                <c:pt idx="44">
                  <c:v>-0.15589216339942782</c:v>
                </c:pt>
                <c:pt idx="45">
                  <c:v>-0.12965507052831915</c:v>
                </c:pt>
                <c:pt idx="46">
                  <c:v>-7.0777075676051404E-2</c:v>
                </c:pt>
                <c:pt idx="47">
                  <c:v>-6.6999617833906372E-2</c:v>
                </c:pt>
                <c:pt idx="48">
                  <c:v>-0.13213587384430525</c:v>
                </c:pt>
                <c:pt idx="49">
                  <c:v>-7.0492602179855979E-2</c:v>
                </c:pt>
                <c:pt idx="50">
                  <c:v>-0.13515254971126678</c:v>
                </c:pt>
                <c:pt idx="51">
                  <c:v>-0.11192771776869095</c:v>
                </c:pt>
                <c:pt idx="52">
                  <c:v>-0.10944029204506187</c:v>
                </c:pt>
                <c:pt idx="53">
                  <c:v>-9.2096641476846944E-2</c:v>
                </c:pt>
                <c:pt idx="54">
                  <c:v>-0.1204396653493858</c:v>
                </c:pt>
                <c:pt idx="55">
                  <c:v>-0.11337209549015542</c:v>
                </c:pt>
                <c:pt idx="56">
                  <c:v>-0.13119426200657275</c:v>
                </c:pt>
                <c:pt idx="57">
                  <c:v>-0.1217781919679895</c:v>
                </c:pt>
                <c:pt idx="58">
                  <c:v>-0.15805100383937437</c:v>
                </c:pt>
                <c:pt idx="59">
                  <c:v>-0.15843249856157327</c:v>
                </c:pt>
                <c:pt idx="60">
                  <c:v>-0.18972604404727136</c:v>
                </c:pt>
                <c:pt idx="61">
                  <c:v>-0.4263736777460817</c:v>
                </c:pt>
                <c:pt idx="62">
                  <c:v>-0.29944860211931434</c:v>
                </c:pt>
                <c:pt idx="63">
                  <c:v>-0.31101692241602918</c:v>
                </c:pt>
                <c:pt idx="64">
                  <c:v>-0.29434586247385158</c:v>
                </c:pt>
                <c:pt idx="65">
                  <c:v>-0.28234755295485009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5-4671-AF03-50C75D53E6E6}"/>
            </c:ext>
          </c:extLst>
        </c:ser>
        <c:ser>
          <c:idx val="0"/>
          <c:order val="3"/>
          <c:tx>
            <c:strRef>
              <c:f>'[1]PPI-快报图3'!$D$95</c:f>
              <c:strCache>
                <c:ptCount val="1"/>
                <c:pt idx="0">
                  <c:v>中游制造</c:v>
                </c:pt>
              </c:strCache>
            </c:strRef>
          </c:tx>
          <c:spPr>
            <a:solidFill>
              <a:srgbClr val="818181"/>
            </a:solidFill>
            <a:ln w="25400">
              <a:noFill/>
            </a:ln>
            <a:effectLst/>
          </c:spPr>
          <c:invertIfNegative val="0"/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'[1]PPI-快报图3'!$D$96:$D$313</c:f>
              <c:numCache>
                <c:formatCode>General</c:formatCode>
                <c:ptCount val="218"/>
                <c:pt idx="0">
                  <c:v>-0.28647318938406896</c:v>
                </c:pt>
                <c:pt idx="1">
                  <c:v>-0.35548732751004741</c:v>
                </c:pt>
                <c:pt idx="2">
                  <c:v>-0.30075732951481621</c:v>
                </c:pt>
                <c:pt idx="3">
                  <c:v>-0.23595969820769935</c:v>
                </c:pt>
                <c:pt idx="4">
                  <c:v>-0.12136732018103481</c:v>
                </c:pt>
                <c:pt idx="5">
                  <c:v>-4.6328252004169894E-2</c:v>
                </c:pt>
                <c:pt idx="6">
                  <c:v>8.1188336213910556E-2</c:v>
                </c:pt>
                <c:pt idx="7">
                  <c:v>0.16853778882760836</c:v>
                </c:pt>
                <c:pt idx="8">
                  <c:v>0.28976468711175596</c:v>
                </c:pt>
                <c:pt idx="9">
                  <c:v>0.34840365118200955</c:v>
                </c:pt>
                <c:pt idx="10">
                  <c:v>0.3957873344998295</c:v>
                </c:pt>
                <c:pt idx="11">
                  <c:v>0.38902179154527688</c:v>
                </c:pt>
                <c:pt idx="12">
                  <c:v>0.37177615583276041</c:v>
                </c:pt>
                <c:pt idx="13">
                  <c:v>0.41477078450695193</c:v>
                </c:pt>
                <c:pt idx="14">
                  <c:v>0.32061849935899067</c:v>
                </c:pt>
                <c:pt idx="15">
                  <c:v>0.20207986567759295</c:v>
                </c:pt>
                <c:pt idx="16">
                  <c:v>0.22711309399733692</c:v>
                </c:pt>
                <c:pt idx="17">
                  <c:v>0.20248259829460274</c:v>
                </c:pt>
                <c:pt idx="18">
                  <c:v>9.1121967013835875E-2</c:v>
                </c:pt>
                <c:pt idx="19">
                  <c:v>-6.6702887781148745E-3</c:v>
                </c:pt>
                <c:pt idx="20">
                  <c:v>-1.1467567319835146E-2</c:v>
                </c:pt>
                <c:pt idx="21">
                  <c:v>7.4550773838269357E-2</c:v>
                </c:pt>
                <c:pt idx="22">
                  <c:v>0.13679387772861321</c:v>
                </c:pt>
                <c:pt idx="23">
                  <c:v>0.16277881208959671</c:v>
                </c:pt>
                <c:pt idx="24">
                  <c:v>1.7132511240288223E-2</c:v>
                </c:pt>
                <c:pt idx="25">
                  <c:v>-0.12613578023901703</c:v>
                </c:pt>
                <c:pt idx="26">
                  <c:v>-7.1747898078428657E-2</c:v>
                </c:pt>
                <c:pt idx="27">
                  <c:v>-0.17695257661123956</c:v>
                </c:pt>
                <c:pt idx="28">
                  <c:v>-0.33532172134345906</c:v>
                </c:pt>
                <c:pt idx="29">
                  <c:v>-0.3961054678733148</c:v>
                </c:pt>
                <c:pt idx="30">
                  <c:v>-0.37100461043104288</c:v>
                </c:pt>
                <c:pt idx="31">
                  <c:v>-0.39324889099378446</c:v>
                </c:pt>
                <c:pt idx="32">
                  <c:v>-0.37828329598592614</c:v>
                </c:pt>
                <c:pt idx="33">
                  <c:v>-0.53066480024697005</c:v>
                </c:pt>
                <c:pt idx="34">
                  <c:v>-0.63634533180040087</c:v>
                </c:pt>
                <c:pt idx="35">
                  <c:v>-0.65885860779417516</c:v>
                </c:pt>
                <c:pt idx="36">
                  <c:v>-0.55940562833323149</c:v>
                </c:pt>
                <c:pt idx="37">
                  <c:v>-0.44137742276325714</c:v>
                </c:pt>
                <c:pt idx="38">
                  <c:v>-0.49290872804431513</c:v>
                </c:pt>
                <c:pt idx="39">
                  <c:v>-0.47856245007212195</c:v>
                </c:pt>
                <c:pt idx="40">
                  <c:v>-0.46359685506426357</c:v>
                </c:pt>
                <c:pt idx="41">
                  <c:v>-0.52536959721506971</c:v>
                </c:pt>
                <c:pt idx="42">
                  <c:v>-0.570404354972608</c:v>
                </c:pt>
                <c:pt idx="43">
                  <c:v>-0.54649385945979134</c:v>
                </c:pt>
                <c:pt idx="44">
                  <c:v>-0.61013418286917731</c:v>
                </c:pt>
                <c:pt idx="45">
                  <c:v>-0.69864491360260894</c:v>
                </c:pt>
                <c:pt idx="46">
                  <c:v>-0.64986950204682881</c:v>
                </c:pt>
                <c:pt idx="47">
                  <c:v>-0.62875344557209645</c:v>
                </c:pt>
                <c:pt idx="48">
                  <c:v>-0.56119595031769887</c:v>
                </c:pt>
                <c:pt idx="49">
                  <c:v>-0.5622856290929017</c:v>
                </c:pt>
                <c:pt idx="50">
                  <c:v>-0.67949864259978809</c:v>
                </c:pt>
                <c:pt idx="51">
                  <c:v>-0.66463373074618226</c:v>
                </c:pt>
                <c:pt idx="52">
                  <c:v>-0.62214800912433499</c:v>
                </c:pt>
                <c:pt idx="53">
                  <c:v>-0.56696852742929815</c:v>
                </c:pt>
                <c:pt idx="54">
                  <c:v>-0.63190538720347389</c:v>
                </c:pt>
                <c:pt idx="55">
                  <c:v>-0.6396599257789769</c:v>
                </c:pt>
                <c:pt idx="56">
                  <c:v>-0.68037874929649678</c:v>
                </c:pt>
                <c:pt idx="57">
                  <c:v>-0.54635740778490716</c:v>
                </c:pt>
                <c:pt idx="58">
                  <c:v>-0.56407889651804333</c:v>
                </c:pt>
                <c:pt idx="59">
                  <c:v>-0.53951602993783709</c:v>
                </c:pt>
                <c:pt idx="60">
                  <c:v>-0.49469084425879317</c:v>
                </c:pt>
                <c:pt idx="61">
                  <c:v>-0.38397437827542646</c:v>
                </c:pt>
                <c:pt idx="62">
                  <c:v>-0.22094870452762463</c:v>
                </c:pt>
                <c:pt idx="63">
                  <c:v>-2.5260795300563355E-2</c:v>
                </c:pt>
                <c:pt idx="64">
                  <c:v>5.8957593721489232E-2</c:v>
                </c:pt>
                <c:pt idx="65">
                  <c:v>0.2202839984874915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5-4671-AF03-50C75D53E6E6}"/>
            </c:ext>
          </c:extLst>
        </c:ser>
        <c:ser>
          <c:idx val="3"/>
          <c:order val="4"/>
          <c:tx>
            <c:strRef>
              <c:f>'[1]PPI-快报图3'!$G$95</c:f>
              <c:strCache>
                <c:ptCount val="1"/>
                <c:pt idx="0">
                  <c:v>下游消费</c:v>
                </c:pt>
              </c:strCache>
            </c:strRef>
          </c:tx>
          <c:spPr>
            <a:solidFill>
              <a:srgbClr val="FFAA96"/>
            </a:solidFill>
            <a:ln w="25400">
              <a:noFill/>
            </a:ln>
            <a:effectLst/>
          </c:spPr>
          <c:invertIfNegative val="0"/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'[1]PPI-快报图3'!$G$96:$G$313</c:f>
              <c:numCache>
                <c:formatCode>General</c:formatCode>
                <c:ptCount val="218"/>
                <c:pt idx="0">
                  <c:v>0.17542008166003312</c:v>
                </c:pt>
                <c:pt idx="1">
                  <c:v>0.24668609726543331</c:v>
                </c:pt>
                <c:pt idx="2">
                  <c:v>0.36301302618452708</c:v>
                </c:pt>
                <c:pt idx="3">
                  <c:v>0.41699158769467931</c:v>
                </c:pt>
                <c:pt idx="4">
                  <c:v>0.52794227636653057</c:v>
                </c:pt>
                <c:pt idx="5">
                  <c:v>0.48503507743775143</c:v>
                </c:pt>
                <c:pt idx="6">
                  <c:v>0.46530339526704206</c:v>
                </c:pt>
                <c:pt idx="7">
                  <c:v>0.47082539830505682</c:v>
                </c:pt>
                <c:pt idx="8">
                  <c:v>0.4782133229715122</c:v>
                </c:pt>
                <c:pt idx="9">
                  <c:v>0.55049329847257844</c:v>
                </c:pt>
                <c:pt idx="10">
                  <c:v>0.66427775780552256</c:v>
                </c:pt>
                <c:pt idx="11">
                  <c:v>0.59878634416791099</c:v>
                </c:pt>
                <c:pt idx="12">
                  <c:v>0.47773887821957367</c:v>
                </c:pt>
                <c:pt idx="13">
                  <c:v>0.41119265093001417</c:v>
                </c:pt>
                <c:pt idx="14">
                  <c:v>0.38687702627278292</c:v>
                </c:pt>
                <c:pt idx="15">
                  <c:v>0.4720230679780959</c:v>
                </c:pt>
                <c:pt idx="16">
                  <c:v>0.50679564187785431</c:v>
                </c:pt>
                <c:pt idx="17">
                  <c:v>0.63339368550584607</c:v>
                </c:pt>
                <c:pt idx="18">
                  <c:v>0.65326428033050066</c:v>
                </c:pt>
                <c:pt idx="19">
                  <c:v>0.57532017514823419</c:v>
                </c:pt>
                <c:pt idx="20">
                  <c:v>0.56928930050628601</c:v>
                </c:pt>
                <c:pt idx="21">
                  <c:v>0.57685734177029857</c:v>
                </c:pt>
                <c:pt idx="22">
                  <c:v>0.43232860255672623</c:v>
                </c:pt>
                <c:pt idx="23">
                  <c:v>0.35056818592575434</c:v>
                </c:pt>
                <c:pt idx="24">
                  <c:v>0.27748861566232585</c:v>
                </c:pt>
                <c:pt idx="25">
                  <c:v>0.20057673704919968</c:v>
                </c:pt>
                <c:pt idx="26">
                  <c:v>6.8984572003032096E-2</c:v>
                </c:pt>
                <c:pt idx="27">
                  <c:v>-9.1841464480837451E-2</c:v>
                </c:pt>
                <c:pt idx="28">
                  <c:v>-0.21172633319888359</c:v>
                </c:pt>
                <c:pt idx="29">
                  <c:v>-0.33384136563348121</c:v>
                </c:pt>
                <c:pt idx="30">
                  <c:v>-0.34496538629191265</c:v>
                </c:pt>
                <c:pt idx="31">
                  <c:v>-0.24215027760778354</c:v>
                </c:pt>
                <c:pt idx="32">
                  <c:v>-0.22105956244995392</c:v>
                </c:pt>
                <c:pt idx="33">
                  <c:v>-0.30591560070699592</c:v>
                </c:pt>
                <c:pt idx="34">
                  <c:v>-0.37517371735377264</c:v>
                </c:pt>
                <c:pt idx="35">
                  <c:v>-0.36760369312714714</c:v>
                </c:pt>
                <c:pt idx="36">
                  <c:v>-0.33309401108660858</c:v>
                </c:pt>
                <c:pt idx="37">
                  <c:v>-0.31880848631945391</c:v>
                </c:pt>
                <c:pt idx="38">
                  <c:v>-0.35412100611484004</c:v>
                </c:pt>
                <c:pt idx="39">
                  <c:v>-0.30726579092692768</c:v>
                </c:pt>
                <c:pt idx="40">
                  <c:v>-0.29694836877746517</c:v>
                </c:pt>
                <c:pt idx="41">
                  <c:v>-0.2333464048452778</c:v>
                </c:pt>
                <c:pt idx="42">
                  <c:v>-0.27807270557126879</c:v>
                </c:pt>
                <c:pt idx="43">
                  <c:v>-0.34910885756851118</c:v>
                </c:pt>
                <c:pt idx="44">
                  <c:v>-0.42941684324361507</c:v>
                </c:pt>
                <c:pt idx="45">
                  <c:v>-0.4561553807395099</c:v>
                </c:pt>
                <c:pt idx="46">
                  <c:v>-0.44572838325567032</c:v>
                </c:pt>
                <c:pt idx="47">
                  <c:v>-0.39448264177798648</c:v>
                </c:pt>
                <c:pt idx="48">
                  <c:v>-0.41118764303635141</c:v>
                </c:pt>
                <c:pt idx="49">
                  <c:v>-0.41315437457396792</c:v>
                </c:pt>
                <c:pt idx="50">
                  <c:v>-0.37978893070953934</c:v>
                </c:pt>
                <c:pt idx="51">
                  <c:v>-0.39075064168874252</c:v>
                </c:pt>
                <c:pt idx="52">
                  <c:v>-0.38476939482183148</c:v>
                </c:pt>
                <c:pt idx="53">
                  <c:v>-0.42493638648418269</c:v>
                </c:pt>
                <c:pt idx="54">
                  <c:v>-0.42472172165067867</c:v>
                </c:pt>
                <c:pt idx="55">
                  <c:v>-0.42108668585514208</c:v>
                </c:pt>
                <c:pt idx="56">
                  <c:v>-0.39169356189508964</c:v>
                </c:pt>
                <c:pt idx="57">
                  <c:v>-0.37022264641915031</c:v>
                </c:pt>
                <c:pt idx="58">
                  <c:v>-0.34272100883684836</c:v>
                </c:pt>
                <c:pt idx="59">
                  <c:v>-0.33941024973179784</c:v>
                </c:pt>
                <c:pt idx="60">
                  <c:v>-0.41304318687399921</c:v>
                </c:pt>
                <c:pt idx="61">
                  <c:v>-0.43579246979293218</c:v>
                </c:pt>
                <c:pt idx="62">
                  <c:v>-0.3964027618780615</c:v>
                </c:pt>
                <c:pt idx="63">
                  <c:v>-0.34762046044026651</c:v>
                </c:pt>
                <c:pt idx="64">
                  <c:v>-0.2841717711393455</c:v>
                </c:pt>
                <c:pt idx="65">
                  <c:v>-0.30836316093306704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15-4671-AF03-50C75D53E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64046447"/>
        <c:axId val="2064050767"/>
      </c:barChart>
      <c:lineChart>
        <c:grouping val="standard"/>
        <c:varyColors val="0"/>
        <c:ser>
          <c:idx val="5"/>
          <c:order val="5"/>
          <c:tx>
            <c:strRef>
              <c:f>'[1]PPI-快报图3'!$I$95</c:f>
              <c:strCache>
                <c:ptCount val="1"/>
                <c:pt idx="0">
                  <c:v>PPI当月同比</c:v>
                </c:pt>
              </c:strCache>
            </c:strRef>
          </c:tx>
          <c:spPr>
            <a:ln w="28575" cap="rnd">
              <a:solidFill>
                <a:srgbClr val="000000"/>
              </a:solidFill>
              <a:round/>
            </a:ln>
            <a:effectLst/>
          </c:spPr>
          <c:marker>
            <c:symbol val="none"/>
          </c:marker>
          <c:cat>
            <c:numRef>
              <c:f>'[1]PPI-快报图3'!$C$96:$C$313</c:f>
              <c:numCache>
                <c:formatCode>General</c:formatCode>
                <c:ptCount val="218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'[1]PPI-快报图3'!$I$96:$I$313</c:f>
              <c:numCache>
                <c:formatCode>General</c:formatCode>
                <c:ptCount val="218"/>
                <c:pt idx="0">
                  <c:v>0.3</c:v>
                </c:pt>
                <c:pt idx="1">
                  <c:v>1.7</c:v>
                </c:pt>
                <c:pt idx="2">
                  <c:v>4.4000000000000004</c:v>
                </c:pt>
                <c:pt idx="3">
                  <c:v>6.8</c:v>
                </c:pt>
                <c:pt idx="4">
                  <c:v>9</c:v>
                </c:pt>
                <c:pt idx="5">
                  <c:v>8.8000000000000007</c:v>
                </c:pt>
                <c:pt idx="6">
                  <c:v>9</c:v>
                </c:pt>
                <c:pt idx="7">
                  <c:v>9.5</c:v>
                </c:pt>
                <c:pt idx="8">
                  <c:v>10.7</c:v>
                </c:pt>
                <c:pt idx="9">
                  <c:v>13.5</c:v>
                </c:pt>
                <c:pt idx="10">
                  <c:v>12.9</c:v>
                </c:pt>
                <c:pt idx="11">
                  <c:v>10.3</c:v>
                </c:pt>
                <c:pt idx="12">
                  <c:v>9.1</c:v>
                </c:pt>
                <c:pt idx="13">
                  <c:v>8.8000000000000007</c:v>
                </c:pt>
                <c:pt idx="14">
                  <c:v>8.3000000000000007</c:v>
                </c:pt>
                <c:pt idx="15">
                  <c:v>8</c:v>
                </c:pt>
                <c:pt idx="16">
                  <c:v>6.4</c:v>
                </c:pt>
                <c:pt idx="17">
                  <c:v>6.1</c:v>
                </c:pt>
                <c:pt idx="18">
                  <c:v>4.2</c:v>
                </c:pt>
                <c:pt idx="19">
                  <c:v>2.2999999999999998</c:v>
                </c:pt>
                <c:pt idx="20">
                  <c:v>0.9</c:v>
                </c:pt>
                <c:pt idx="21">
                  <c:v>-1.3</c:v>
                </c:pt>
                <c:pt idx="22">
                  <c:v>-1.3</c:v>
                </c:pt>
                <c:pt idx="23">
                  <c:v>-0.7</c:v>
                </c:pt>
                <c:pt idx="24">
                  <c:v>-0.8</c:v>
                </c:pt>
                <c:pt idx="25">
                  <c:v>-1.4</c:v>
                </c:pt>
                <c:pt idx="26">
                  <c:v>-2.5</c:v>
                </c:pt>
                <c:pt idx="27">
                  <c:v>-3.6</c:v>
                </c:pt>
                <c:pt idx="28">
                  <c:v>-4.5999999999999996</c:v>
                </c:pt>
                <c:pt idx="29">
                  <c:v>-5.4</c:v>
                </c:pt>
                <c:pt idx="30">
                  <c:v>-4.4000000000000004</c:v>
                </c:pt>
                <c:pt idx="31">
                  <c:v>-3</c:v>
                </c:pt>
                <c:pt idx="32">
                  <c:v>-2.5</c:v>
                </c:pt>
                <c:pt idx="33">
                  <c:v>-2.6</c:v>
                </c:pt>
                <c:pt idx="34">
                  <c:v>-3</c:v>
                </c:pt>
                <c:pt idx="35">
                  <c:v>-2.7</c:v>
                </c:pt>
                <c:pt idx="36">
                  <c:v>-2.5</c:v>
                </c:pt>
                <c:pt idx="37">
                  <c:v>-2.7</c:v>
                </c:pt>
                <c:pt idx="38">
                  <c:v>-2.8</c:v>
                </c:pt>
                <c:pt idx="39">
                  <c:v>-2.5</c:v>
                </c:pt>
                <c:pt idx="40">
                  <c:v>-1.4</c:v>
                </c:pt>
                <c:pt idx="41">
                  <c:v>-0.8</c:v>
                </c:pt>
                <c:pt idx="42">
                  <c:v>-0.8</c:v>
                </c:pt>
                <c:pt idx="43">
                  <c:v>-1.8</c:v>
                </c:pt>
                <c:pt idx="44">
                  <c:v>-2.8</c:v>
                </c:pt>
                <c:pt idx="45">
                  <c:v>-2.9</c:v>
                </c:pt>
                <c:pt idx="46">
                  <c:v>-2.5</c:v>
                </c:pt>
                <c:pt idx="47">
                  <c:v>-2.2999999999999998</c:v>
                </c:pt>
                <c:pt idx="48">
                  <c:v>-2.2999999999999998</c:v>
                </c:pt>
                <c:pt idx="49">
                  <c:v>-2.2000000000000002</c:v>
                </c:pt>
                <c:pt idx="50">
                  <c:v>-2.5</c:v>
                </c:pt>
                <c:pt idx="51">
                  <c:v>-2.7</c:v>
                </c:pt>
                <c:pt idx="52">
                  <c:v>-3.3</c:v>
                </c:pt>
                <c:pt idx="53">
                  <c:v>-3.6</c:v>
                </c:pt>
                <c:pt idx="54">
                  <c:v>-3.6</c:v>
                </c:pt>
                <c:pt idx="55">
                  <c:v>-2.9</c:v>
                </c:pt>
                <c:pt idx="56">
                  <c:v>-2.2999999999999998</c:v>
                </c:pt>
                <c:pt idx="57">
                  <c:v>-2.1</c:v>
                </c:pt>
                <c:pt idx="58">
                  <c:v>-2.2000000000000002</c:v>
                </c:pt>
                <c:pt idx="59">
                  <c:v>-1.9</c:v>
                </c:pt>
                <c:pt idx="60">
                  <c:v>-1.4</c:v>
                </c:pt>
                <c:pt idx="61">
                  <c:v>-0.9</c:v>
                </c:pt>
                <c:pt idx="62">
                  <c:v>0.5</c:v>
                </c:pt>
                <c:pt idx="63">
                  <c:v>2.8</c:v>
                </c:pt>
                <c:pt idx="64">
                  <c:v>3.9</c:v>
                </c:pt>
                <c:pt idx="65">
                  <c:v>4.0999999999999996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B15-4671-AF03-50C75D53E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046447"/>
        <c:axId val="2064050767"/>
      </c:lineChart>
      <c:catAx>
        <c:axId val="2064046447"/>
        <c:scaling>
          <c:orientation val="minMax"/>
          <c:max val="66"/>
          <c:min val="30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064050767"/>
        <c:crosses val="autoZero"/>
        <c:auto val="1"/>
        <c:lblAlgn val="ctr"/>
        <c:lblOffset val="100"/>
        <c:tickLblSkip val="6"/>
        <c:noMultiLvlLbl val="0"/>
      </c:catAx>
      <c:valAx>
        <c:axId val="2064050767"/>
        <c:scaling>
          <c:orientation val="minMax"/>
          <c:max val="10"/>
        </c:scaling>
        <c:delete val="0"/>
        <c:axPos val="l"/>
        <c:numFmt formatCode="0\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06404644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600">
          <a:solidFill>
            <a:srgbClr val="000000"/>
          </a:solidFill>
          <a:latin typeface="Arial" panose="020B0604020202020204" pitchFamily="34" charset="0"/>
          <a:ea typeface="楷体_GB2312" panose="0201060903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r>
              <a:rPr lang="en-US" b="1"/>
              <a:t>PPI</a:t>
            </a:r>
            <a:r>
              <a:rPr lang="zh-CN" b="1"/>
              <a:t>环比贡献拆分（</a:t>
            </a:r>
            <a:r>
              <a:rPr lang="en-US" b="1"/>
              <a:t>%</a:t>
            </a:r>
            <a:r>
              <a:rPr lang="zh-CN" b="1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9468071712839928E-2"/>
          <c:y val="0.23146215913145754"/>
          <c:w val="0.94012474907672605"/>
          <c:h val="0.6275676648886239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'[1]PPI-快报图3'!$L$95</c:f>
              <c:strCache>
                <c:ptCount val="1"/>
                <c:pt idx="0">
                  <c:v>上游材料</c:v>
                </c:pt>
              </c:strCache>
            </c:strRef>
          </c:tx>
          <c:spPr>
            <a:solidFill>
              <a:srgbClr val="B34845"/>
            </a:solidFill>
            <a:ln w="25400">
              <a:noFill/>
            </a:ln>
            <a:effectLst/>
          </c:spPr>
          <c:invertIfNegative val="0"/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'[1]PPI-快报图3'!$L$96:$L$216</c:f>
              <c:numCache>
                <c:formatCode>General</c:formatCode>
                <c:ptCount val="121"/>
                <c:pt idx="0">
                  <c:v>0.7314439487956943</c:v>
                </c:pt>
                <c:pt idx="1">
                  <c:v>0.67213616129869047</c:v>
                </c:pt>
                <c:pt idx="2">
                  <c:v>1.4002663196131189</c:v>
                </c:pt>
                <c:pt idx="3">
                  <c:v>0.81399777068167423</c:v>
                </c:pt>
                <c:pt idx="4">
                  <c:v>1.2262138720136848</c:v>
                </c:pt>
                <c:pt idx="5">
                  <c:v>0.12490579343151906</c:v>
                </c:pt>
                <c:pt idx="6">
                  <c:v>0.12116060760767364</c:v>
                </c:pt>
                <c:pt idx="7">
                  <c:v>0.45978259640079822</c:v>
                </c:pt>
                <c:pt idx="8">
                  <c:v>0.7977544387828559</c:v>
                </c:pt>
                <c:pt idx="9">
                  <c:v>1.7651881900805226</c:v>
                </c:pt>
                <c:pt idx="10">
                  <c:v>-0.18290688913115311</c:v>
                </c:pt>
                <c:pt idx="11">
                  <c:v>-0.98535279939483311</c:v>
                </c:pt>
                <c:pt idx="12">
                  <c:v>-0.3032399632578297</c:v>
                </c:pt>
                <c:pt idx="13">
                  <c:v>0.42094400707610435</c:v>
                </c:pt>
                <c:pt idx="14">
                  <c:v>0.76113943266064665</c:v>
                </c:pt>
                <c:pt idx="15">
                  <c:v>0.4389260115507464</c:v>
                </c:pt>
                <c:pt idx="16">
                  <c:v>-5.3359756865151403E-2</c:v>
                </c:pt>
                <c:pt idx="17">
                  <c:v>-0.26867670255574772</c:v>
                </c:pt>
                <c:pt idx="18">
                  <c:v>-1.2506527089014858</c:v>
                </c:pt>
                <c:pt idx="19">
                  <c:v>-1.062255531243794</c:v>
                </c:pt>
                <c:pt idx="20">
                  <c:v>-0.2999366977319709</c:v>
                </c:pt>
                <c:pt idx="21">
                  <c:v>-1.5156149551087225E-2</c:v>
                </c:pt>
                <c:pt idx="22">
                  <c:v>-0.1855199955837725</c:v>
                </c:pt>
                <c:pt idx="23">
                  <c:v>-0.17990333454713703</c:v>
                </c:pt>
                <c:pt idx="24">
                  <c:v>-0.17402377735450467</c:v>
                </c:pt>
                <c:pt idx="25">
                  <c:v>0.17047772996025873</c:v>
                </c:pt>
                <c:pt idx="26">
                  <c:v>6.0837012600868039E-2</c:v>
                </c:pt>
                <c:pt idx="27">
                  <c:v>-0.25646132200808885</c:v>
                </c:pt>
                <c:pt idx="28">
                  <c:v>-0.7658192856563022</c:v>
                </c:pt>
                <c:pt idx="29">
                  <c:v>-0.6607033119374961</c:v>
                </c:pt>
                <c:pt idx="30">
                  <c:v>-0.20163114680410396</c:v>
                </c:pt>
                <c:pt idx="31">
                  <c:v>0.22837016016805811</c:v>
                </c:pt>
                <c:pt idx="32">
                  <c:v>0.2939218994813908</c:v>
                </c:pt>
                <c:pt idx="33">
                  <c:v>9.5153461057681077E-2</c:v>
                </c:pt>
                <c:pt idx="34">
                  <c:v>-0.11464586430750118</c:v>
                </c:pt>
                <c:pt idx="35">
                  <c:v>-0.15263896284567208</c:v>
                </c:pt>
                <c:pt idx="36">
                  <c:v>-0.15157206343405016</c:v>
                </c:pt>
                <c:pt idx="37">
                  <c:v>-7.0854461705087232E-2</c:v>
                </c:pt>
                <c:pt idx="38">
                  <c:v>-6.5163806944904382E-2</c:v>
                </c:pt>
                <c:pt idx="39">
                  <c:v>-4.9461868955582682E-2</c:v>
                </c:pt>
                <c:pt idx="40">
                  <c:v>0.28064990493219621</c:v>
                </c:pt>
                <c:pt idx="41">
                  <c:v>-1.5313138746121585E-2</c:v>
                </c:pt>
                <c:pt idx="42">
                  <c:v>-0.19391099963218511</c:v>
                </c:pt>
                <c:pt idx="43">
                  <c:v>-0.70988951256727251</c:v>
                </c:pt>
                <c:pt idx="44">
                  <c:v>-0.61275491287849448</c:v>
                </c:pt>
                <c:pt idx="45">
                  <c:v>0.21638986918365566</c:v>
                </c:pt>
                <c:pt idx="46">
                  <c:v>0.14828292463696879</c:v>
                </c:pt>
                <c:pt idx="47">
                  <c:v>-5.1242330910892767E-2</c:v>
                </c:pt>
                <c:pt idx="48">
                  <c:v>-0.11450796247035933</c:v>
                </c:pt>
                <c:pt idx="49">
                  <c:v>-2.6750961626762382E-2</c:v>
                </c:pt>
                <c:pt idx="50">
                  <c:v>-0.15175003593985459</c:v>
                </c:pt>
                <c:pt idx="51">
                  <c:v>-0.25590743629348578</c:v>
                </c:pt>
                <c:pt idx="52">
                  <c:v>-0.39225384551073428</c:v>
                </c:pt>
                <c:pt idx="53">
                  <c:v>-0.31185613453707395</c:v>
                </c:pt>
                <c:pt idx="54">
                  <c:v>-7.9256509544737008E-2</c:v>
                </c:pt>
                <c:pt idx="55">
                  <c:v>9.8612239835654258E-2</c:v>
                </c:pt>
                <c:pt idx="56">
                  <c:v>-1.5528558738193848E-2</c:v>
                </c:pt>
                <c:pt idx="57">
                  <c:v>1.5931345064916846E-2</c:v>
                </c:pt>
                <c:pt idx="58">
                  <c:v>-2.7468935886296342E-2</c:v>
                </c:pt>
                <c:pt idx="59">
                  <c:v>0.13389642346052735</c:v>
                </c:pt>
                <c:pt idx="60">
                  <c:v>0.24928506839572123</c:v>
                </c:pt>
                <c:pt idx="61">
                  <c:v>0.37997815002929697</c:v>
                </c:pt>
                <c:pt idx="62">
                  <c:v>0.62963704125177733</c:v>
                </c:pt>
                <c:pt idx="63">
                  <c:v>1.4369979338195571</c:v>
                </c:pt>
                <c:pt idx="64">
                  <c:v>0.31622977019622445</c:v>
                </c:pt>
                <c:pt idx="65">
                  <c:v>-0.20471356765685284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C-43BD-A52B-251195BCC805}"/>
            </c:ext>
          </c:extLst>
        </c:ser>
        <c:ser>
          <c:idx val="4"/>
          <c:order val="1"/>
          <c:tx>
            <c:strRef>
              <c:f>'[1]PPI-快报图3'!$O$95</c:f>
              <c:strCache>
                <c:ptCount val="1"/>
                <c:pt idx="0">
                  <c:v>上游采矿</c:v>
                </c:pt>
              </c:strCache>
            </c:strRef>
          </c:tx>
          <c:spPr>
            <a:solidFill>
              <a:srgbClr val="D99D25"/>
            </a:solidFill>
            <a:ln w="25400">
              <a:noFill/>
            </a:ln>
            <a:effectLst/>
          </c:spPr>
          <c:invertIfNegative val="0"/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'[1]PPI-快报图3'!$O$96:$O$216</c:f>
              <c:numCache>
                <c:formatCode>General</c:formatCode>
                <c:ptCount val="121"/>
                <c:pt idx="0">
                  <c:v>0.23056671342025589</c:v>
                </c:pt>
                <c:pt idx="1">
                  <c:v>0.11706156178328751</c:v>
                </c:pt>
                <c:pt idx="2">
                  <c:v>2.3652030408162356E-2</c:v>
                </c:pt>
                <c:pt idx="3">
                  <c:v>8.023787516382401E-2</c:v>
                </c:pt>
                <c:pt idx="4">
                  <c:v>0.29313177911244503</c:v>
                </c:pt>
                <c:pt idx="5">
                  <c:v>0.16500439007083137</c:v>
                </c:pt>
                <c:pt idx="6">
                  <c:v>0.20805960330156181</c:v>
                </c:pt>
                <c:pt idx="7">
                  <c:v>0.13452529223159568</c:v>
                </c:pt>
                <c:pt idx="8">
                  <c:v>0.22984765744709718</c:v>
                </c:pt>
                <c:pt idx="9">
                  <c:v>0.4599792545158401</c:v>
                </c:pt>
                <c:pt idx="10">
                  <c:v>-8.6054063488382904E-2</c:v>
                </c:pt>
                <c:pt idx="11">
                  <c:v>-0.2688421048402645</c:v>
                </c:pt>
                <c:pt idx="12">
                  <c:v>-5.1974673592913724E-2</c:v>
                </c:pt>
                <c:pt idx="13">
                  <c:v>4.6379194592987318E-2</c:v>
                </c:pt>
                <c:pt idx="14">
                  <c:v>0.17915324402747182</c:v>
                </c:pt>
                <c:pt idx="15">
                  <c:v>9.0343770201230189E-2</c:v>
                </c:pt>
                <c:pt idx="16">
                  <c:v>-9.6380866576360556E-3</c:v>
                </c:pt>
                <c:pt idx="17">
                  <c:v>5.9456957631984282E-2</c:v>
                </c:pt>
                <c:pt idx="18">
                  <c:v>-8.7660411443687969E-2</c:v>
                </c:pt>
                <c:pt idx="19">
                  <c:v>-0.18161786568105187</c:v>
                </c:pt>
                <c:pt idx="20">
                  <c:v>-2.7427883404075648E-2</c:v>
                </c:pt>
                <c:pt idx="21">
                  <c:v>4.9539614839697273E-2</c:v>
                </c:pt>
                <c:pt idx="22">
                  <c:v>2.699796722699898E-2</c:v>
                </c:pt>
                <c:pt idx="23">
                  <c:v>-3.3295369875753655E-2</c:v>
                </c:pt>
                <c:pt idx="24">
                  <c:v>-3.3646093229040955E-2</c:v>
                </c:pt>
                <c:pt idx="25">
                  <c:v>-1.3028156747845064E-2</c:v>
                </c:pt>
                <c:pt idx="26">
                  <c:v>-2.0088848541197454E-2</c:v>
                </c:pt>
                <c:pt idx="27">
                  <c:v>-8.7715416635215135E-2</c:v>
                </c:pt>
                <c:pt idx="28">
                  <c:v>-0.15209590930603598</c:v>
                </c:pt>
                <c:pt idx="29">
                  <c:v>-0.15984906217093733</c:v>
                </c:pt>
                <c:pt idx="30">
                  <c:v>-1.4548636836198822E-2</c:v>
                </c:pt>
                <c:pt idx="31">
                  <c:v>2.7552322364495795E-2</c:v>
                </c:pt>
                <c:pt idx="32">
                  <c:v>7.2847201634244768E-2</c:v>
                </c:pt>
                <c:pt idx="33">
                  <c:v>0.10774347759715761</c:v>
                </c:pt>
                <c:pt idx="34">
                  <c:v>-5.5650363344598823E-3</c:v>
                </c:pt>
                <c:pt idx="35">
                  <c:v>-3.3387528224320034E-2</c:v>
                </c:pt>
                <c:pt idx="36">
                  <c:v>8.9587833916375519E-3</c:v>
                </c:pt>
                <c:pt idx="37">
                  <c:v>2.5772176222299669E-3</c:v>
                </c:pt>
                <c:pt idx="38">
                  <c:v>-3.8304237832797593E-2</c:v>
                </c:pt>
                <c:pt idx="39">
                  <c:v>-5.945209797712997E-2</c:v>
                </c:pt>
                <c:pt idx="40">
                  <c:v>9.4982158224067251E-3</c:v>
                </c:pt>
                <c:pt idx="41">
                  <c:v>1.5085849981616772E-2</c:v>
                </c:pt>
                <c:pt idx="42">
                  <c:v>2.2601913133540576E-2</c:v>
                </c:pt>
                <c:pt idx="43">
                  <c:v>-6.4656639013074974E-2</c:v>
                </c:pt>
                <c:pt idx="44">
                  <c:v>-6.8168769797601697E-2</c:v>
                </c:pt>
                <c:pt idx="45">
                  <c:v>-1.2500998060746352E-2</c:v>
                </c:pt>
                <c:pt idx="46">
                  <c:v>-7.5127997497471087E-3</c:v>
                </c:pt>
                <c:pt idx="47">
                  <c:v>-3.7623655201429615E-2</c:v>
                </c:pt>
                <c:pt idx="48">
                  <c:v>-1.7240375383201334E-2</c:v>
                </c:pt>
                <c:pt idx="49">
                  <c:v>-6.2327442104661929E-2</c:v>
                </c:pt>
                <c:pt idx="50">
                  <c:v>-0.12719167453039526</c:v>
                </c:pt>
                <c:pt idx="51">
                  <c:v>-9.5176170598634799E-2</c:v>
                </c:pt>
                <c:pt idx="52">
                  <c:v>-0.11037724187968484</c:v>
                </c:pt>
                <c:pt idx="53">
                  <c:v>-6.5306311704471182E-2</c:v>
                </c:pt>
                <c:pt idx="54">
                  <c:v>-1.8093006339002959E-2</c:v>
                </c:pt>
                <c:pt idx="55">
                  <c:v>6.4539299402551403E-2</c:v>
                </c:pt>
                <c:pt idx="56">
                  <c:v>5.9434288910412629E-2</c:v>
                </c:pt>
                <c:pt idx="57">
                  <c:v>3.9403746559718303E-2</c:v>
                </c:pt>
                <c:pt idx="58">
                  <c:v>8.3718321514313965E-2</c:v>
                </c:pt>
                <c:pt idx="59">
                  <c:v>2.9524985602842811E-2</c:v>
                </c:pt>
                <c:pt idx="60">
                  <c:v>-6.9080143066777996E-2</c:v>
                </c:pt>
                <c:pt idx="61">
                  <c:v>4.0314746009290421E-2</c:v>
                </c:pt>
                <c:pt idx="62">
                  <c:v>0.12871621507307032</c:v>
                </c:pt>
                <c:pt idx="63">
                  <c:v>0.18582560062954656</c:v>
                </c:pt>
                <c:pt idx="64">
                  <c:v>7.2319156736877541E-2</c:v>
                </c:pt>
                <c:pt idx="65">
                  <c:v>1.601002872062459E-2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C-43BD-A52B-251195BCC805}"/>
            </c:ext>
          </c:extLst>
        </c:ser>
        <c:ser>
          <c:idx val="2"/>
          <c:order val="2"/>
          <c:tx>
            <c:strRef>
              <c:f>'[1]PPI-快报图3'!$M$95</c:f>
              <c:strCache>
                <c:ptCount val="1"/>
                <c:pt idx="0">
                  <c:v>公用事业</c:v>
                </c:pt>
              </c:strCache>
            </c:strRef>
          </c:tx>
          <c:spPr>
            <a:solidFill>
              <a:srgbClr val="6995A9"/>
            </a:solidFill>
            <a:ln w="25400">
              <a:noFill/>
            </a:ln>
            <a:effectLst/>
          </c:spPr>
          <c:invertIfNegative val="0"/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'[1]PPI-快报图3'!$M$96:$M$216</c:f>
              <c:numCache>
                <c:formatCode>General</c:formatCode>
                <c:ptCount val="121"/>
                <c:pt idx="0">
                  <c:v>2.4316374444828197E-2</c:v>
                </c:pt>
                <c:pt idx="1">
                  <c:v>7.7908624545697741E-3</c:v>
                </c:pt>
                <c:pt idx="2">
                  <c:v>-1.239297923385908E-3</c:v>
                </c:pt>
                <c:pt idx="3">
                  <c:v>-4.7924908578817239E-2</c:v>
                </c:pt>
                <c:pt idx="4">
                  <c:v>-3.3258343473637673E-2</c:v>
                </c:pt>
                <c:pt idx="5">
                  <c:v>-3.0631992205732348E-2</c:v>
                </c:pt>
                <c:pt idx="6">
                  <c:v>2.0067023062123736E-3</c:v>
                </c:pt>
                <c:pt idx="7">
                  <c:v>-1.2571671449820989E-2</c:v>
                </c:pt>
                <c:pt idx="8">
                  <c:v>5.4712419880280833E-2</c:v>
                </c:pt>
                <c:pt idx="9">
                  <c:v>5.0079366306163123E-2</c:v>
                </c:pt>
                <c:pt idx="10">
                  <c:v>0.18187344227732788</c:v>
                </c:pt>
                <c:pt idx="11">
                  <c:v>0.2753924190093241</c:v>
                </c:pt>
                <c:pt idx="12">
                  <c:v>0.20022927387550632</c:v>
                </c:pt>
                <c:pt idx="13">
                  <c:v>6.4657740062196489E-2</c:v>
                </c:pt>
                <c:pt idx="14">
                  <c:v>6.6752633717555063E-2</c:v>
                </c:pt>
                <c:pt idx="15">
                  <c:v>3.2638694511944719E-2</c:v>
                </c:pt>
                <c:pt idx="16">
                  <c:v>7.4071602631565403E-3</c:v>
                </c:pt>
                <c:pt idx="17">
                  <c:v>-4.004585477510126E-2</c:v>
                </c:pt>
                <c:pt idx="18">
                  <c:v>-8.9505572119571442E-2</c:v>
                </c:pt>
                <c:pt idx="19">
                  <c:v>2.222148078946962E-2</c:v>
                </c:pt>
                <c:pt idx="20">
                  <c:v>0.10231319033967214</c:v>
                </c:pt>
                <c:pt idx="21">
                  <c:v>-2.66185875933076E-2</c:v>
                </c:pt>
                <c:pt idx="22">
                  <c:v>5.3089419765481691E-2</c:v>
                </c:pt>
                <c:pt idx="23">
                  <c:v>5.9493228875532038E-2</c:v>
                </c:pt>
                <c:pt idx="24">
                  <c:v>3.3258343473637673E-2</c:v>
                </c:pt>
                <c:pt idx="25">
                  <c:v>7.3687900440152165E-2</c:v>
                </c:pt>
                <c:pt idx="26">
                  <c:v>-2.8241587708106738E-2</c:v>
                </c:pt>
                <c:pt idx="27">
                  <c:v>-4.1904801660180124E-2</c:v>
                </c:pt>
                <c:pt idx="28">
                  <c:v>-1.0653160492754818E-2</c:v>
                </c:pt>
                <c:pt idx="29">
                  <c:v>-7.3304198248738933E-2</c:v>
                </c:pt>
                <c:pt idx="30">
                  <c:v>-4.9459717344470175E-2</c:v>
                </c:pt>
                <c:pt idx="31">
                  <c:v>1.782437398563164E-2</c:v>
                </c:pt>
                <c:pt idx="32">
                  <c:v>8.4105114162627264E-3</c:v>
                </c:pt>
                <c:pt idx="33">
                  <c:v>-4.8840068382777213E-2</c:v>
                </c:pt>
                <c:pt idx="34">
                  <c:v>-3.7803205698609163E-2</c:v>
                </c:pt>
                <c:pt idx="35">
                  <c:v>8.2334358626694609E-2</c:v>
                </c:pt>
                <c:pt idx="36">
                  <c:v>6.5897037985582385E-2</c:v>
                </c:pt>
                <c:pt idx="37">
                  <c:v>-0.10532324379899069</c:v>
                </c:pt>
                <c:pt idx="38">
                  <c:v>4.1816610311033911E-2</c:v>
                </c:pt>
                <c:pt idx="39">
                  <c:v>-5.7486526569319671E-2</c:v>
                </c:pt>
                <c:pt idx="40">
                  <c:v>1.5581724909139548E-2</c:v>
                </c:pt>
                <c:pt idx="41">
                  <c:v>-8.2098411856414893E-2</c:v>
                </c:pt>
                <c:pt idx="42">
                  <c:v>-3.8039152468888886E-2</c:v>
                </c:pt>
                <c:pt idx="43">
                  <c:v>1.0033511531061868E-3</c:v>
                </c:pt>
                <c:pt idx="44">
                  <c:v>1.342726718179366E-2</c:v>
                </c:pt>
                <c:pt idx="45">
                  <c:v>-2.222148078946962E-2</c:v>
                </c:pt>
                <c:pt idx="46">
                  <c:v>2.9244938861212925E-2</c:v>
                </c:pt>
                <c:pt idx="47">
                  <c:v>7.8704656205683107E-2</c:v>
                </c:pt>
                <c:pt idx="48">
                  <c:v>-1.3870533445194209E-3</c:v>
                </c:pt>
                <c:pt idx="49">
                  <c:v>-3.6032450162676512E-2</c:v>
                </c:pt>
                <c:pt idx="50">
                  <c:v>-3.1635343358838532E-2</c:v>
                </c:pt>
                <c:pt idx="51">
                  <c:v>-3.426169462674386E-2</c:v>
                </c:pt>
                <c:pt idx="52">
                  <c:v>2.7002289784720832E-2</c:v>
                </c:pt>
                <c:pt idx="53">
                  <c:v>-7.3687900440152165E-2</c:v>
                </c:pt>
                <c:pt idx="54">
                  <c:v>-6.9674495827727417E-2</c:v>
                </c:pt>
                <c:pt idx="55">
                  <c:v>5.4004579569441671E-3</c:v>
                </c:pt>
                <c:pt idx="56">
                  <c:v>-4.0134046124247471E-3</c:v>
                </c:pt>
                <c:pt idx="57">
                  <c:v>-1.9831076291844014E-2</c:v>
                </c:pt>
                <c:pt idx="58">
                  <c:v>-7.7908624545697741E-3</c:v>
                </c:pt>
                <c:pt idx="59">
                  <c:v>8.6111816468839641E-2</c:v>
                </c:pt>
                <c:pt idx="60">
                  <c:v>7.4071602631565403E-3</c:v>
                </c:pt>
                <c:pt idx="61">
                  <c:v>-0.28887925026310507</c:v>
                </c:pt>
                <c:pt idx="62">
                  <c:v>0.10370024368419155</c:v>
                </c:pt>
                <c:pt idx="63">
                  <c:v>-4.3823312617246278E-2</c:v>
                </c:pt>
                <c:pt idx="64">
                  <c:v>4.429520615780573E-2</c:v>
                </c:pt>
                <c:pt idx="65">
                  <c:v>-6.0644335449771741E-2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C-43BD-A52B-251195BCC805}"/>
            </c:ext>
          </c:extLst>
        </c:ser>
        <c:ser>
          <c:idx val="0"/>
          <c:order val="3"/>
          <c:tx>
            <c:strRef>
              <c:f>'[1]PPI-快报图3'!$K$95</c:f>
              <c:strCache>
                <c:ptCount val="1"/>
                <c:pt idx="0">
                  <c:v>中游制造</c:v>
                </c:pt>
              </c:strCache>
            </c:strRef>
          </c:tx>
          <c:spPr>
            <a:solidFill>
              <a:srgbClr val="818181"/>
            </a:solidFill>
            <a:ln w="25400">
              <a:noFill/>
            </a:ln>
            <a:effectLst/>
          </c:spPr>
          <c:invertIfNegative val="0"/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'[1]PPI-快报图3'!$K$96:$K$216</c:f>
              <c:numCache>
                <c:formatCode>General</c:formatCode>
                <c:ptCount val="121"/>
                <c:pt idx="0">
                  <c:v>-1.7754542764860669E-2</c:v>
                </c:pt>
                <c:pt idx="1">
                  <c:v>-5.9117531579780655E-2</c:v>
                </c:pt>
                <c:pt idx="2">
                  <c:v>7.2552169882619894E-2</c:v>
                </c:pt>
                <c:pt idx="3">
                  <c:v>0.10533993677786686</c:v>
                </c:pt>
                <c:pt idx="4">
                  <c:v>8.4761871165200328E-2</c:v>
                </c:pt>
                <c:pt idx="5">
                  <c:v>6.184037127333409E-2</c:v>
                </c:pt>
                <c:pt idx="6">
                  <c:v>0.10517162450108644</c:v>
                </c:pt>
                <c:pt idx="7">
                  <c:v>3.5918830486892192E-2</c:v>
                </c:pt>
                <c:pt idx="8">
                  <c:v>2.8063608757136718E-2</c:v>
                </c:pt>
                <c:pt idx="9">
                  <c:v>4.1430617937447969E-2</c:v>
                </c:pt>
                <c:pt idx="10">
                  <c:v>-4.0469388089856041E-3</c:v>
                </c:pt>
                <c:pt idx="11">
                  <c:v>-5.8027852804577812E-2</c:v>
                </c:pt>
                <c:pt idx="12">
                  <c:v>-3.9422287152730051E-2</c:v>
                </c:pt>
                <c:pt idx="13">
                  <c:v>-2.9422282963372414E-2</c:v>
                </c:pt>
                <c:pt idx="14">
                  <c:v>-8.3007352075581253E-3</c:v>
                </c:pt>
                <c:pt idx="15">
                  <c:v>-4.4221086753529378E-3</c:v>
                </c:pt>
                <c:pt idx="16">
                  <c:v>0.10979509948494426</c:v>
                </c:pt>
                <c:pt idx="17">
                  <c:v>2.5576710462891682E-2</c:v>
                </c:pt>
                <c:pt idx="18">
                  <c:v>-2.1053918633286307E-2</c:v>
                </c:pt>
                <c:pt idx="19">
                  <c:v>-4.4151936571922339E-2</c:v>
                </c:pt>
                <c:pt idx="20">
                  <c:v>1.1903619294552775E-3</c:v>
                </c:pt>
                <c:pt idx="21">
                  <c:v>0.1186723708673746</c:v>
                </c:pt>
                <c:pt idx="22">
                  <c:v>5.098510864900295E-2</c:v>
                </c:pt>
                <c:pt idx="23">
                  <c:v>-3.646502711894728E-2</c:v>
                </c:pt>
                <c:pt idx="24">
                  <c:v>-0.17176920794425521</c:v>
                </c:pt>
                <c:pt idx="25">
                  <c:v>-0.16391398621449976</c:v>
                </c:pt>
                <c:pt idx="26">
                  <c:v>4.1665038277677313E-2</c:v>
                </c:pt>
                <c:pt idx="27">
                  <c:v>-0.11564748171106384</c:v>
                </c:pt>
                <c:pt idx="28">
                  <c:v>-6.1873425305058544E-2</c:v>
                </c:pt>
                <c:pt idx="29">
                  <c:v>-2.1907656009180751E-2</c:v>
                </c:pt>
                <c:pt idx="30">
                  <c:v>1.7245635712516437E-2</c:v>
                </c:pt>
                <c:pt idx="31">
                  <c:v>-5.9285843856561077E-2</c:v>
                </c:pt>
                <c:pt idx="32">
                  <c:v>3.9898140173349812E-2</c:v>
                </c:pt>
                <c:pt idx="33">
                  <c:v>-5.1430622126805589E-2</c:v>
                </c:pt>
                <c:pt idx="34">
                  <c:v>-4.5818151521997391E-2</c:v>
                </c:pt>
                <c:pt idx="35">
                  <c:v>-6.3332782665546664E-2</c:v>
                </c:pt>
                <c:pt idx="36">
                  <c:v>-7.0650013533236439E-2</c:v>
                </c:pt>
                <c:pt idx="37">
                  <c:v>-3.4252615536817139E-2</c:v>
                </c:pt>
                <c:pt idx="38">
                  <c:v>-1.2554531606130646E-2</c:v>
                </c:pt>
                <c:pt idx="39">
                  <c:v>-9.2524615510692743E-2</c:v>
                </c:pt>
                <c:pt idx="40">
                  <c:v>-5.5684418525378115E-2</c:v>
                </c:pt>
                <c:pt idx="41">
                  <c:v>-0.10409015149587296</c:v>
                </c:pt>
                <c:pt idx="42">
                  <c:v>-2.3434642492196858E-2</c:v>
                </c:pt>
                <c:pt idx="43">
                  <c:v>-4.4151936571922339E-2</c:v>
                </c:pt>
                <c:pt idx="44">
                  <c:v>-3.4184986414289159E-2</c:v>
                </c:pt>
                <c:pt idx="45">
                  <c:v>-0.15324073291802046</c:v>
                </c:pt>
                <c:pt idx="46">
                  <c:v>1.6155956937313601E-2</c:v>
                </c:pt>
                <c:pt idx="47">
                  <c:v>-4.6638834866167364E-2</c:v>
                </c:pt>
                <c:pt idx="48">
                  <c:v>-4.8594163831662054E-3</c:v>
                </c:pt>
                <c:pt idx="49">
                  <c:v>-2.2042914254236712E-2</c:v>
                </c:pt>
                <c:pt idx="50">
                  <c:v>-0.13429033694262249</c:v>
                </c:pt>
                <c:pt idx="51">
                  <c:v>-7.7659703657086854E-2</c:v>
                </c:pt>
                <c:pt idx="52">
                  <c:v>4.455162707077397E-3</c:v>
                </c:pt>
                <c:pt idx="53">
                  <c:v>-4.6154776075558228E-2</c:v>
                </c:pt>
                <c:pt idx="54">
                  <c:v>-8.8371502266372665E-2</c:v>
                </c:pt>
                <c:pt idx="55">
                  <c:v>-6.0683063375603266E-2</c:v>
                </c:pt>
                <c:pt idx="56">
                  <c:v>-7.4903809931808965E-2</c:v>
                </c:pt>
                <c:pt idx="57">
                  <c:v>-1.0342120024000508E-2</c:v>
                </c:pt>
                <c:pt idx="58">
                  <c:v>1.0068315425243793E-4</c:v>
                </c:pt>
                <c:pt idx="59">
                  <c:v>-2.3742183236036218E-2</c:v>
                </c:pt>
                <c:pt idx="60">
                  <c:v>6.8163115238991406E-2</c:v>
                </c:pt>
                <c:pt idx="61">
                  <c:v>5.78209952149909E-2</c:v>
                </c:pt>
                <c:pt idx="62">
                  <c:v>4.0368501912887544E-2</c:v>
                </c:pt>
                <c:pt idx="63">
                  <c:v>8.857286857487752E-2</c:v>
                </c:pt>
                <c:pt idx="64">
                  <c:v>6.2243103890343834E-2</c:v>
                </c:pt>
                <c:pt idx="65">
                  <c:v>8.8673551729129968E-2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C-43BD-A52B-251195BCC805}"/>
            </c:ext>
          </c:extLst>
        </c:ser>
        <c:ser>
          <c:idx val="3"/>
          <c:order val="4"/>
          <c:tx>
            <c:strRef>
              <c:f>'[1]PPI-快报图3'!$N$95</c:f>
              <c:strCache>
                <c:ptCount val="1"/>
                <c:pt idx="0">
                  <c:v>下游消费</c:v>
                </c:pt>
              </c:strCache>
            </c:strRef>
          </c:tx>
          <c:spPr>
            <a:solidFill>
              <a:srgbClr val="FFAA96"/>
            </a:solidFill>
            <a:ln w="25400">
              <a:noFill/>
            </a:ln>
            <a:effectLst/>
          </c:spPr>
          <c:invertIfNegative val="0"/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'[1]PPI-快报图3'!$N$96:$N$216</c:f>
              <c:numCache>
                <c:formatCode>General</c:formatCode>
                <c:ptCount val="121"/>
                <c:pt idx="0">
                  <c:v>0.10634092792617311</c:v>
                </c:pt>
                <c:pt idx="1">
                  <c:v>0.10667028233294927</c:v>
                </c:pt>
                <c:pt idx="2">
                  <c:v>0.11052807701577574</c:v>
                </c:pt>
                <c:pt idx="3">
                  <c:v>-1.4008131285359058E-2</c:v>
                </c:pt>
                <c:pt idx="4">
                  <c:v>2.8364011480085979E-2</c:v>
                </c:pt>
                <c:pt idx="5">
                  <c:v>-5.7275060686336442E-2</c:v>
                </c:pt>
                <c:pt idx="6">
                  <c:v>1.601161315716533E-2</c:v>
                </c:pt>
                <c:pt idx="7">
                  <c:v>2.3427751535987695E-2</c:v>
                </c:pt>
                <c:pt idx="8">
                  <c:v>8.3229538417327956E-3</c:v>
                </c:pt>
                <c:pt idx="9">
                  <c:v>8.0611979429480618E-2</c:v>
                </c:pt>
                <c:pt idx="10">
                  <c:v>0.16796084445891551</c:v>
                </c:pt>
                <c:pt idx="11">
                  <c:v>3.663043262604691E-3</c:v>
                </c:pt>
                <c:pt idx="12">
                  <c:v>-9.5493259855294645E-3</c:v>
                </c:pt>
                <c:pt idx="13">
                  <c:v>3.0767223595931686E-2</c:v>
                </c:pt>
                <c:pt idx="14">
                  <c:v>9.3263713800445486E-2</c:v>
                </c:pt>
                <c:pt idx="15">
                  <c:v>7.2070663377584082E-2</c:v>
                </c:pt>
                <c:pt idx="16">
                  <c:v>6.3618570975522329E-2</c:v>
                </c:pt>
                <c:pt idx="17">
                  <c:v>6.895668914249875E-2</c:v>
                </c:pt>
                <c:pt idx="18">
                  <c:v>2.7736482229265908E-2</c:v>
                </c:pt>
                <c:pt idx="19">
                  <c:v>-4.5820825191522661E-2</c:v>
                </c:pt>
                <c:pt idx="20">
                  <c:v>6.4024126575060224E-3</c:v>
                </c:pt>
                <c:pt idx="21">
                  <c:v>7.5339241022241488E-2</c:v>
                </c:pt>
                <c:pt idx="22">
                  <c:v>2.9336206702733736E-2</c:v>
                </c:pt>
                <c:pt idx="23">
                  <c:v>-7.5185442184173792E-2</c:v>
                </c:pt>
                <c:pt idx="24">
                  <c:v>-7.6673017553805914E-2</c:v>
                </c:pt>
                <c:pt idx="25">
                  <c:v>-4.3158725812676574E-2</c:v>
                </c:pt>
                <c:pt idx="26">
                  <c:v>-3.3085652781033627E-2</c:v>
                </c:pt>
                <c:pt idx="27">
                  <c:v>-9.1174181448662892E-2</c:v>
                </c:pt>
                <c:pt idx="28">
                  <c:v>-4.978343223135575E-2</c:v>
                </c:pt>
                <c:pt idx="29">
                  <c:v>-5.8938604115274747E-2</c:v>
                </c:pt>
                <c:pt idx="30">
                  <c:v>1.5884196530242957E-2</c:v>
                </c:pt>
                <c:pt idx="31">
                  <c:v>5.509760875655665E-2</c:v>
                </c:pt>
                <c:pt idx="32">
                  <c:v>3.2022846049560891E-2</c:v>
                </c:pt>
                <c:pt idx="33">
                  <c:v>-8.9275887901855942E-3</c:v>
                </c:pt>
                <c:pt idx="34">
                  <c:v>-4.507493047465605E-2</c:v>
                </c:pt>
                <c:pt idx="35">
                  <c:v>-6.5230220079524531E-2</c:v>
                </c:pt>
                <c:pt idx="36">
                  <c:v>-3.8634022991473983E-2</c:v>
                </c:pt>
                <c:pt idx="37">
                  <c:v>-3.540447619543078E-2</c:v>
                </c:pt>
                <c:pt idx="38">
                  <c:v>-6.8963160088750364E-2</c:v>
                </c:pt>
                <c:pt idx="39">
                  <c:v>-3.7409228839052407E-2</c:v>
                </c:pt>
                <c:pt idx="40">
                  <c:v>-4.6652667265716159E-2</c:v>
                </c:pt>
                <c:pt idx="41">
                  <c:v>3.305664201652216E-3</c:v>
                </c:pt>
                <c:pt idx="42">
                  <c:v>-2.7318048114686477E-2</c:v>
                </c:pt>
                <c:pt idx="43">
                  <c:v>-1.6817983936950123E-2</c:v>
                </c:pt>
                <c:pt idx="44">
                  <c:v>-5.0890010230733591E-2</c:v>
                </c:pt>
                <c:pt idx="45">
                  <c:v>-3.8310799011367455E-2</c:v>
                </c:pt>
                <c:pt idx="46">
                  <c:v>-3.0336321308519862E-2</c:v>
                </c:pt>
                <c:pt idx="47">
                  <c:v>-1.802883182523083E-2</c:v>
                </c:pt>
                <c:pt idx="48">
                  <c:v>-5.9716616166466854E-2</c:v>
                </c:pt>
                <c:pt idx="49">
                  <c:v>-2.8018075810637207E-2</c:v>
                </c:pt>
                <c:pt idx="50">
                  <c:v>-3.718650647436756E-2</c:v>
                </c:pt>
                <c:pt idx="51">
                  <c:v>-4.3606790501858304E-2</c:v>
                </c:pt>
                <c:pt idx="52">
                  <c:v>-3.5428621934116639E-2</c:v>
                </c:pt>
                <c:pt idx="53">
                  <c:v>-4.533874936352647E-2</c:v>
                </c:pt>
                <c:pt idx="54">
                  <c:v>-2.3785432445528602E-2</c:v>
                </c:pt>
                <c:pt idx="55">
                  <c:v>-9.0834382651049338E-3</c:v>
                </c:pt>
                <c:pt idx="56">
                  <c:v>-2.2728386617898392E-2</c:v>
                </c:pt>
                <c:pt idx="57">
                  <c:v>-1.0183912692669769E-2</c:v>
                </c:pt>
                <c:pt idx="58">
                  <c:v>-2.1707554027325638E-3</c:v>
                </c:pt>
                <c:pt idx="59">
                  <c:v>-1.7357535603282702E-2</c:v>
                </c:pt>
                <c:pt idx="60">
                  <c:v>-7.046094674906439E-2</c:v>
                </c:pt>
                <c:pt idx="61">
                  <c:v>-3.8899355420063605E-2</c:v>
                </c:pt>
                <c:pt idx="62">
                  <c:v>3.2676645795322737E-3</c:v>
                </c:pt>
                <c:pt idx="63">
                  <c:v>-2.0524989674039082E-2</c:v>
                </c:pt>
                <c:pt idx="64">
                  <c:v>6.8047585645804138E-3</c:v>
                </c:pt>
                <c:pt idx="65">
                  <c:v>-7.6275680614588656E-2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C-43BD-A52B-251195BC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63961007"/>
        <c:axId val="2063970607"/>
      </c:barChart>
      <c:lineChart>
        <c:grouping val="standard"/>
        <c:varyColors val="0"/>
        <c:ser>
          <c:idx val="5"/>
          <c:order val="5"/>
          <c:tx>
            <c:strRef>
              <c:f>'[1]PPI-快报图3'!$P$95</c:f>
              <c:strCache>
                <c:ptCount val="1"/>
                <c:pt idx="0">
                  <c:v>PPI环比</c:v>
                </c:pt>
              </c:strCache>
            </c:strRef>
          </c:tx>
          <c:spPr>
            <a:ln w="28575" cap="rnd">
              <a:solidFill>
                <a:srgbClr val="000000"/>
              </a:solidFill>
              <a:round/>
            </a:ln>
            <a:effectLst/>
          </c:spPr>
          <c:marker>
            <c:symbol val="none"/>
          </c:marker>
          <c:cat>
            <c:numRef>
              <c:f>'[1]PPI-快报图3'!$J$96:$J$216</c:f>
              <c:numCache>
                <c:formatCode>General</c:formatCode>
                <c:ptCount val="121"/>
                <c:pt idx="0">
                  <c:v>44227</c:v>
                </c:pt>
                <c:pt idx="1">
                  <c:v>44255</c:v>
                </c:pt>
                <c:pt idx="2">
                  <c:v>44286</c:v>
                </c:pt>
                <c:pt idx="3">
                  <c:v>44316</c:v>
                </c:pt>
                <c:pt idx="4">
                  <c:v>44347</c:v>
                </c:pt>
                <c:pt idx="5">
                  <c:v>44377</c:v>
                </c:pt>
                <c:pt idx="6">
                  <c:v>44408</c:v>
                </c:pt>
                <c:pt idx="7">
                  <c:v>44439</c:v>
                </c:pt>
                <c:pt idx="8">
                  <c:v>44469</c:v>
                </c:pt>
                <c:pt idx="9">
                  <c:v>44500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44681</c:v>
                </c:pt>
                <c:pt idx="16">
                  <c:v>44712</c:v>
                </c:pt>
                <c:pt idx="17">
                  <c:v>44742</c:v>
                </c:pt>
                <c:pt idx="18">
                  <c:v>44773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44926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45046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45199</c:v>
                </c:pt>
                <c:pt idx="33">
                  <c:v>45230</c:v>
                </c:pt>
                <c:pt idx="34">
                  <c:v>45260</c:v>
                </c:pt>
                <c:pt idx="35">
                  <c:v>45291</c:v>
                </c:pt>
                <c:pt idx="36">
                  <c:v>45322</c:v>
                </c:pt>
                <c:pt idx="37">
                  <c:v>45351</c:v>
                </c:pt>
                <c:pt idx="38">
                  <c:v>45382</c:v>
                </c:pt>
                <c:pt idx="39">
                  <c:v>45412</c:v>
                </c:pt>
                <c:pt idx="40">
                  <c:v>45443</c:v>
                </c:pt>
                <c:pt idx="41">
                  <c:v>45473</c:v>
                </c:pt>
                <c:pt idx="42">
                  <c:v>45504</c:v>
                </c:pt>
                <c:pt idx="43">
                  <c:v>45535</c:v>
                </c:pt>
                <c:pt idx="44">
                  <c:v>45565</c:v>
                </c:pt>
                <c:pt idx="45">
                  <c:v>45596</c:v>
                </c:pt>
                <c:pt idx="46">
                  <c:v>45626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45808</c:v>
                </c:pt>
                <c:pt idx="53">
                  <c:v>45838</c:v>
                </c:pt>
                <c:pt idx="54">
                  <c:v>45869</c:v>
                </c:pt>
                <c:pt idx="55">
                  <c:v>45900</c:v>
                </c:pt>
                <c:pt idx="56">
                  <c:v>45930</c:v>
                </c:pt>
                <c:pt idx="57">
                  <c:v>45961</c:v>
                </c:pt>
                <c:pt idx="58">
                  <c:v>45991</c:v>
                </c:pt>
                <c:pt idx="59">
                  <c:v>46022</c:v>
                </c:pt>
                <c:pt idx="60">
                  <c:v>46053</c:v>
                </c:pt>
                <c:pt idx="61">
                  <c:v>46081</c:v>
                </c:pt>
                <c:pt idx="62">
                  <c:v>46112</c:v>
                </c:pt>
                <c:pt idx="63">
                  <c:v>46142</c:v>
                </c:pt>
                <c:pt idx="64">
                  <c:v>46173</c:v>
                </c:pt>
                <c:pt idx="65">
                  <c:v>46203</c:v>
                </c:pt>
              </c:numCache>
            </c:numRef>
          </c:cat>
          <c:val>
            <c:numRef>
              <c:f>'[1]PPI-快报图3'!$P$96:$P$216</c:f>
              <c:numCache>
                <c:formatCode>General</c:formatCode>
                <c:ptCount val="121"/>
                <c:pt idx="0">
                  <c:v>1</c:v>
                </c:pt>
                <c:pt idx="1">
                  <c:v>0.8</c:v>
                </c:pt>
                <c:pt idx="2">
                  <c:v>1.6</c:v>
                </c:pt>
                <c:pt idx="3">
                  <c:v>0.9</c:v>
                </c:pt>
                <c:pt idx="4">
                  <c:v>1.6</c:v>
                </c:pt>
                <c:pt idx="5">
                  <c:v>0.3</c:v>
                </c:pt>
                <c:pt idx="6">
                  <c:v>0.5</c:v>
                </c:pt>
                <c:pt idx="7">
                  <c:v>0.7</c:v>
                </c:pt>
                <c:pt idx="8">
                  <c:v>1.2</c:v>
                </c:pt>
                <c:pt idx="9">
                  <c:v>2.5</c:v>
                </c:pt>
                <c:pt idx="10">
                  <c:v>0</c:v>
                </c:pt>
                <c:pt idx="11">
                  <c:v>-1.2</c:v>
                </c:pt>
                <c:pt idx="12">
                  <c:v>-0.2</c:v>
                </c:pt>
                <c:pt idx="13">
                  <c:v>0.5</c:v>
                </c:pt>
                <c:pt idx="14">
                  <c:v>1.1000000000000001</c:v>
                </c:pt>
                <c:pt idx="15">
                  <c:v>0.6</c:v>
                </c:pt>
                <c:pt idx="16">
                  <c:v>0.1</c:v>
                </c:pt>
                <c:pt idx="17">
                  <c:v>0</c:v>
                </c:pt>
                <c:pt idx="18">
                  <c:v>-1.3</c:v>
                </c:pt>
                <c:pt idx="19">
                  <c:v>-1.2</c:v>
                </c:pt>
                <c:pt idx="20">
                  <c:v>-0.1</c:v>
                </c:pt>
                <c:pt idx="21">
                  <c:v>0.2</c:v>
                </c:pt>
                <c:pt idx="22">
                  <c:v>0.1</c:v>
                </c:pt>
                <c:pt idx="23">
                  <c:v>-0.5</c:v>
                </c:pt>
                <c:pt idx="24">
                  <c:v>-0.4</c:v>
                </c:pt>
                <c:pt idx="25">
                  <c:v>0</c:v>
                </c:pt>
                <c:pt idx="26">
                  <c:v>0</c:v>
                </c:pt>
                <c:pt idx="27">
                  <c:v>-0.5</c:v>
                </c:pt>
                <c:pt idx="28">
                  <c:v>-0.9</c:v>
                </c:pt>
                <c:pt idx="29">
                  <c:v>-0.8</c:v>
                </c:pt>
                <c:pt idx="30">
                  <c:v>-0.2</c:v>
                </c:pt>
                <c:pt idx="31">
                  <c:v>0.2</c:v>
                </c:pt>
                <c:pt idx="32">
                  <c:v>0.4</c:v>
                </c:pt>
                <c:pt idx="33">
                  <c:v>0</c:v>
                </c:pt>
                <c:pt idx="34">
                  <c:v>-0.3</c:v>
                </c:pt>
                <c:pt idx="35">
                  <c:v>-0.3</c:v>
                </c:pt>
                <c:pt idx="36">
                  <c:v>-0.2</c:v>
                </c:pt>
                <c:pt idx="37">
                  <c:v>-0.2</c:v>
                </c:pt>
                <c:pt idx="38">
                  <c:v>-0.1</c:v>
                </c:pt>
                <c:pt idx="39">
                  <c:v>-0.2</c:v>
                </c:pt>
                <c:pt idx="40">
                  <c:v>0.2</c:v>
                </c:pt>
                <c:pt idx="41">
                  <c:v>-0.2</c:v>
                </c:pt>
                <c:pt idx="42">
                  <c:v>-0.2</c:v>
                </c:pt>
                <c:pt idx="43">
                  <c:v>-0.7</c:v>
                </c:pt>
                <c:pt idx="44">
                  <c:v>-0.6</c:v>
                </c:pt>
                <c:pt idx="45">
                  <c:v>-0.1</c:v>
                </c:pt>
                <c:pt idx="46">
                  <c:v>0.1</c:v>
                </c:pt>
                <c:pt idx="47">
                  <c:v>-0.1</c:v>
                </c:pt>
                <c:pt idx="48">
                  <c:v>-0.2</c:v>
                </c:pt>
                <c:pt idx="49">
                  <c:v>-0.1</c:v>
                </c:pt>
                <c:pt idx="50">
                  <c:v>-0.4</c:v>
                </c:pt>
                <c:pt idx="51">
                  <c:v>-0.4</c:v>
                </c:pt>
                <c:pt idx="52">
                  <c:v>-0.4</c:v>
                </c:pt>
                <c:pt idx="53">
                  <c:v>-0.4</c:v>
                </c:pt>
                <c:pt idx="54">
                  <c:v>-0.2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0.1</c:v>
                </c:pt>
                <c:pt idx="59">
                  <c:v>0.2</c:v>
                </c:pt>
                <c:pt idx="60">
                  <c:v>0.4</c:v>
                </c:pt>
                <c:pt idx="61">
                  <c:v>0.4</c:v>
                </c:pt>
                <c:pt idx="62">
                  <c:v>1</c:v>
                </c:pt>
                <c:pt idx="63">
                  <c:v>1.7</c:v>
                </c:pt>
                <c:pt idx="64">
                  <c:v>0.5</c:v>
                </c:pt>
                <c:pt idx="65">
                  <c:v>-0.3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65C-43BD-A52B-251195BC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961007"/>
        <c:axId val="2063970607"/>
      </c:lineChart>
      <c:catAx>
        <c:axId val="2063961007"/>
        <c:scaling>
          <c:orientation val="minMax"/>
          <c:max val="66"/>
          <c:min val="30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063970607"/>
        <c:crosses val="autoZero"/>
        <c:auto val="1"/>
        <c:lblAlgn val="ctr"/>
        <c:lblOffset val="100"/>
        <c:tickLblSkip val="6"/>
        <c:noMultiLvlLbl val="0"/>
      </c:catAx>
      <c:valAx>
        <c:axId val="2063970607"/>
        <c:scaling>
          <c:orientation val="minMax"/>
          <c:max val="2"/>
          <c:min val="-1.5"/>
        </c:scaling>
        <c:delete val="0"/>
        <c:axPos val="l"/>
        <c:numFmt formatCode="#,##0.0_ 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20639610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600">
          <a:solidFill>
            <a:srgbClr val="000000"/>
          </a:solidFill>
          <a:latin typeface="Arial" panose="020B0604020202020204" pitchFamily="34" charset="0"/>
          <a:ea typeface="楷体_GB2312" panose="0201060903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16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/>
              </a:defRPr>
            </a:pPr>
            <a:r>
              <a:rPr lang="zh-CN" altLang="en-US"/>
              <a:t>历年</a:t>
            </a:r>
            <a:r>
              <a:rPr lang="en-US" altLang="zh-CN"/>
              <a:t>6</a:t>
            </a:r>
            <a:r>
              <a:rPr lang="zh-CN" altLang="en-US"/>
              <a:t>月</a:t>
            </a:r>
            <a:r>
              <a:rPr lang="zh-CN" altLang="zh-CN"/>
              <a:t>狭义财政收支</a:t>
            </a:r>
            <a:r>
              <a:rPr lang="zh-CN" altLang="en-US"/>
              <a:t>进度（</a:t>
            </a:r>
            <a:r>
              <a:rPr lang="en-US" altLang="zh-CN"/>
              <a:t>%</a:t>
            </a:r>
            <a:r>
              <a:rPr lang="zh-CN" altLang="en-US"/>
              <a:t>）</a:t>
            </a:r>
            <a:endParaRPr lang="zh-CN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16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810230841604916E-2"/>
          <c:y val="0.18857336909585309"/>
          <c:w val="0.8842484496487002"/>
          <c:h val="0.64896790009524608"/>
        </c:manualLayout>
      </c:layout>
      <c:barChart>
        <c:barDir val="col"/>
        <c:grouping val="clustered"/>
        <c:varyColors val="0"/>
        <c:ser>
          <c:idx val="0"/>
          <c:order val="0"/>
          <c:tx>
            <c:v>收入</c:v>
          </c:tx>
          <c:spPr>
            <a:solidFill>
              <a:srgbClr val="C00000"/>
            </a:solidFill>
            <a:ln w="25400">
              <a:noFill/>
            </a:ln>
            <a:effectLst/>
          </c:spPr>
          <c:invertIfNegative val="0"/>
          <c:cat>
            <c:strRef>
              <c:f>[2]收入回溯!$BJ$8:$BQ$8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[2]收入回溯!$BJ$84:$BQ$84</c:f>
              <c:numCache>
                <c:formatCode>0.00_);[Red]\(0.00\)</c:formatCode>
                <c:ptCount val="8"/>
                <c:pt idx="0">
                  <c:v>56.023896103896107</c:v>
                </c:pt>
                <c:pt idx="1">
                  <c:v>53.351084484384536</c:v>
                </c:pt>
                <c:pt idx="2">
                  <c:v>59.254237288135592</c:v>
                </c:pt>
                <c:pt idx="3">
                  <c:v>50.071856857333202</c:v>
                </c:pt>
                <c:pt idx="4" formatCode="0.00_ ">
                  <c:v>54.856419696272432</c:v>
                </c:pt>
                <c:pt idx="5" formatCode="0.00_ ">
                  <c:v>51.758428220584953</c:v>
                </c:pt>
                <c:pt idx="6" formatCode="0.00_ ">
                  <c:v>52.565840345690241</c:v>
                </c:pt>
                <c:pt idx="7" formatCode="0.00_ ">
                  <c:v>54.846850928862708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B-4646-B81E-F1FAC29224A7}"/>
            </c:ext>
          </c:extLst>
        </c:ser>
        <c:ser>
          <c:idx val="1"/>
          <c:order val="1"/>
          <c:tx>
            <c:v>支出</c:v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strRef>
              <c:f>[2]收入回溯!$BJ$8:$BQ$8</c:f>
              <c:strCach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strCache>
            </c:strRef>
          </c:cat>
          <c:val>
            <c:numRef>
              <c:f>[2]支出回溯!$AS$16:$AZ$16</c:f>
              <c:numCache>
                <c:formatCode>0.0_);[Red]\(0.0\)</c:formatCode>
                <c:ptCount val="8"/>
                <c:pt idx="0">
                  <c:v>52.514835659995576</c:v>
                </c:pt>
                <c:pt idx="1">
                  <c:v>46.968327617510589</c:v>
                </c:pt>
                <c:pt idx="2">
                  <c:v>48.64704941628019</c:v>
                </c:pt>
                <c:pt idx="3">
                  <c:v>48.249695835283106</c:v>
                </c:pt>
                <c:pt idx="4">
                  <c:v>48.665358194308141</c:v>
                </c:pt>
                <c:pt idx="5">
                  <c:v>47.837402360853268</c:v>
                </c:pt>
                <c:pt idx="6" formatCode="0.00_);[Red]\(0.00\)">
                  <c:v>47.565192505176675</c:v>
                </c:pt>
                <c:pt idx="7">
                  <c:v>47.760413195601465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B-4646-B81E-F1FAC292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0609488"/>
        <c:axId val="1190611984"/>
      </c:barChart>
      <c:catAx>
        <c:axId val="1190609488"/>
        <c:scaling>
          <c:orientation val="minMax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00000">
                <a:lumMod val="50000"/>
                <a:lumOff val="50000"/>
              </a:srgb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1190611984"/>
        <c:crosses val="autoZero"/>
        <c:auto val="1"/>
        <c:lblAlgn val="ctr"/>
        <c:lblOffset val="100"/>
        <c:noMultiLvlLbl val="0"/>
      </c:catAx>
      <c:valAx>
        <c:axId val="1190611984"/>
        <c:scaling>
          <c:orientation val="minMax"/>
          <c:min val="10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rgbClr val="000000">
                <a:lumMod val="50000"/>
                <a:lumOff val="50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1190609488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30529797674729553"/>
          <c:y val="0.16766947956206668"/>
          <c:w val="0.25816943117017238"/>
          <c:h val="0.10322269975217241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800" baseline="0">
          <a:solidFill>
            <a:srgbClr val="000000"/>
          </a:solidFill>
          <a:latin typeface="Arial" panose="020B0604020202020204" pitchFamily="34" charset="0"/>
          <a:ea typeface="楷体_GB2312" panose="02010609030101010101" pitchFamily="49" charset="-122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160" b="0" i="0" u="none" strike="noStrike" kern="1200" spc="0" baseline="0">
                <a:solidFill>
                  <a:srgbClr val="000000"/>
                </a:solidFill>
                <a:latin typeface="Arial"/>
                <a:ea typeface="楷体_GB2312" panose="02010609030101010101" pitchFamily="49" charset="-122"/>
                <a:cs typeface="Arial"/>
              </a:defRPr>
            </a:pPr>
            <a:r>
              <a:rPr lang="zh-CN" altLang="en-US"/>
              <a:t>历年</a:t>
            </a:r>
            <a:r>
              <a:rPr lang="en-US" altLang="zh-CN"/>
              <a:t>6</a:t>
            </a:r>
            <a:r>
              <a:rPr lang="zh-CN" altLang="en-US"/>
              <a:t>月</a:t>
            </a:r>
            <a:r>
              <a:rPr lang="zh-CN" altLang="zh-CN"/>
              <a:t>政府性基金收支</a:t>
            </a:r>
            <a:r>
              <a:rPr lang="zh-CN" altLang="en-US"/>
              <a:t>进度</a:t>
            </a:r>
            <a:r>
              <a:rPr lang="zh-CN" altLang="zh-CN"/>
              <a:t>（</a:t>
            </a:r>
            <a:r>
              <a:rPr lang="en-US" altLang="zh-CN"/>
              <a:t>%</a:t>
            </a:r>
            <a:r>
              <a:rPr lang="zh-CN" altLang="zh-CN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160" b="0" i="0" u="none" strike="noStrike" kern="1200" spc="0" baseline="0">
              <a:solidFill>
                <a:srgbClr val="000000"/>
              </a:solidFill>
              <a:latin typeface="Arial"/>
              <a:ea typeface="楷体_GB2312" panose="02010609030101010101" pitchFamily="49" charset="-122"/>
              <a:cs typeface="Arial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收入</c:v>
          </c:tx>
          <c:spPr>
            <a:solidFill>
              <a:srgbClr val="C00000"/>
            </a:solidFill>
            <a:ln w="25400">
              <a:noFill/>
            </a:ln>
            <a:effectLst/>
          </c:spPr>
          <c:invertIfNegative val="0"/>
          <c:cat>
            <c:numRef>
              <c:f>[2]政府性基金!$BO$7:$BV$7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[2]政府性基金!$BO$33:$BV$33</c:f>
              <c:numCache>
                <c:formatCode>0.00_);[Red]\(0.00\)</c:formatCode>
                <c:ptCount val="8"/>
                <c:pt idx="0">
                  <c:v>40.772204853741052</c:v>
                </c:pt>
                <c:pt idx="1">
                  <c:v>38.650124837238884</c:v>
                </c:pt>
                <c:pt idx="2">
                  <c:v>41.340735551530358</c:v>
                </c:pt>
                <c:pt idx="3">
                  <c:v>28.354566308858562</c:v>
                </c:pt>
                <c:pt idx="4">
                  <c:v>30.070397940895411</c:v>
                </c:pt>
                <c:pt idx="5">
                  <c:v>28.127716640972963</c:v>
                </c:pt>
                <c:pt idx="6">
                  <c:v>31.107652927426624</c:v>
                </c:pt>
                <c:pt idx="7">
                  <c:v>26.248359692754377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F69-A981-45E79D65A220}"/>
            </c:ext>
          </c:extLst>
        </c:ser>
        <c:ser>
          <c:idx val="1"/>
          <c:order val="1"/>
          <c:tx>
            <c:v>支出</c:v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numRef>
              <c:f>[2]政府性基金!$BO$7:$BV$7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[2]政府性基金!$BO$82:$BV$82</c:f>
              <c:numCache>
                <c:formatCode>0.00_ </c:formatCode>
                <c:ptCount val="8"/>
                <c:pt idx="0">
                  <c:v>37.223807365243808</c:v>
                </c:pt>
                <c:pt idx="1">
                  <c:v>35.847377956812046</c:v>
                </c:pt>
                <c:pt idx="2">
                  <c:v>31.76685706415094</c:v>
                </c:pt>
                <c:pt idx="3">
                  <c:v>39.445623015074176</c:v>
                </c:pt>
                <c:pt idx="4">
                  <c:v>36.64030557380751</c:v>
                </c:pt>
                <c:pt idx="5">
                  <c:v>29.617970692693941</c:v>
                </c:pt>
                <c:pt idx="6">
                  <c:v>37.052767182617224</c:v>
                </c:pt>
                <c:pt idx="7">
                  <c:v>32.617622111722412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D-4F69-A981-45E79D65A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0609488"/>
        <c:axId val="1190611984"/>
      </c:barChart>
      <c:catAx>
        <c:axId val="119060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00000">
                <a:lumMod val="50000"/>
                <a:lumOff val="50000"/>
              </a:srgb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Arial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1190611984"/>
        <c:crosses val="autoZero"/>
        <c:auto val="0"/>
        <c:lblAlgn val="ctr"/>
        <c:lblOffset val="100"/>
        <c:noMultiLvlLbl val="0"/>
      </c:catAx>
      <c:valAx>
        <c:axId val="1190611984"/>
        <c:scaling>
          <c:orientation val="minMax"/>
          <c:min val="0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rgbClr val="000000">
                <a:lumMod val="50000"/>
                <a:lumOff val="50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Arial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1190609488"/>
        <c:crosses val="autoZero"/>
        <c:crossBetween val="between"/>
        <c:majorUnit val="5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000000"/>
              </a:solidFill>
              <a:latin typeface="Arial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1800" baseline="0">
          <a:solidFill>
            <a:srgbClr val="000000"/>
          </a:solidFill>
          <a:latin typeface="Arial"/>
          <a:ea typeface="楷体_GB2312" panose="02010609030101010101" pitchFamily="49" charset="-122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zh-CN" sz="2160" b="0" i="0" u="none" strike="noStrike" kern="1200" spc="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r>
              <a:rPr lang="zh-CN" altLang="zh-CN"/>
              <a:t>主要税种当月同比增速（</a:t>
            </a:r>
            <a:r>
              <a:rPr lang="en-US" altLang="zh-CN"/>
              <a:t>%</a:t>
            </a:r>
            <a:r>
              <a:rPr lang="zh-CN" altLang="zh-CN"/>
              <a:t>） </a:t>
            </a:r>
          </a:p>
        </c:rich>
      </c:tx>
      <c:layout>
        <c:manualLayout>
          <c:xMode val="edge"/>
          <c:yMode val="edge"/>
          <c:x val="0.37921110286736787"/>
          <c:y val="3.537136451305189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zh-CN" sz="2160" b="0" i="0" u="none" strike="noStrike" kern="1200" spc="0" baseline="0">
              <a:solidFill>
                <a:srgbClr val="000000"/>
              </a:solidFill>
              <a:latin typeface="Arial" panose="020B0604020202020204"/>
              <a:ea typeface="楷体_GB2312" panose="02010609030101010101" pitchFamily="49" charset="-122"/>
              <a:cs typeface="Arial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8479424175294189E-2"/>
          <c:y val="0.10617119480042331"/>
          <c:w val="0.9553152184349496"/>
          <c:h val="0.66852820438997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[2]分税种回溯!$B$100</c:f>
              <c:strCache>
                <c:ptCount val="1"/>
                <c:pt idx="0">
                  <c:v>2026-05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invertIfNegative val="0"/>
          <c:cat>
            <c:strRef>
              <c:f>[2]分税种回溯!$BU$3:$CH$3</c:f>
              <c:strCache>
                <c:ptCount val="14"/>
                <c:pt idx="0">
                  <c:v>增值税</c:v>
                </c:pt>
                <c:pt idx="1">
                  <c:v>消费税</c:v>
                </c:pt>
                <c:pt idx="2">
                  <c:v>企业
所得税</c:v>
                </c:pt>
                <c:pt idx="3">
                  <c:v>个人所得税</c:v>
                </c:pt>
                <c:pt idx="4">
                  <c:v>进口环节税收</c:v>
                </c:pt>
                <c:pt idx="5">
                  <c:v>关税</c:v>
                </c:pt>
                <c:pt idx="6">
                  <c:v>出口退税</c:v>
                </c:pt>
                <c:pt idx="7">
                  <c:v>城建税</c:v>
                </c:pt>
                <c:pt idx="8">
                  <c:v>土地
增值税</c:v>
                </c:pt>
                <c:pt idx="9">
                  <c:v>房产税</c:v>
                </c:pt>
                <c:pt idx="10">
                  <c:v>耕地
占用税</c:v>
                </c:pt>
                <c:pt idx="11">
                  <c:v>城镇土地使用税</c:v>
                </c:pt>
                <c:pt idx="12">
                  <c:v>契税</c:v>
                </c:pt>
                <c:pt idx="13">
                  <c:v>车辆购置税</c:v>
                </c:pt>
              </c:strCache>
            </c:strRef>
          </c:cat>
          <c:val>
            <c:numRef>
              <c:f>[2]分税种回溯!$CI$100:$CV$100</c:f>
              <c:numCache>
                <c:formatCode>0.00_ </c:formatCode>
                <c:ptCount val="14"/>
                <c:pt idx="0" formatCode="0.0_ ">
                  <c:v>7.8981723237598001</c:v>
                </c:pt>
                <c:pt idx="1">
                  <c:v>-2.0374898125509411</c:v>
                </c:pt>
                <c:pt idx="2">
                  <c:v>3.2552954292084824</c:v>
                </c:pt>
                <c:pt idx="3">
                  <c:v>12.374581939799324</c:v>
                </c:pt>
                <c:pt idx="4">
                  <c:v>7.1618037135278589</c:v>
                </c:pt>
                <c:pt idx="5">
                  <c:v>-11.792452830188683</c:v>
                </c:pt>
                <c:pt idx="6">
                  <c:v>1.9119351100811199</c:v>
                </c:pt>
                <c:pt idx="7">
                  <c:v>6.4425770308123242</c:v>
                </c:pt>
                <c:pt idx="8">
                  <c:v>-3.0837004405286361</c:v>
                </c:pt>
                <c:pt idx="9" formatCode="0.0_ ">
                  <c:v>6.2283737024221519</c:v>
                </c:pt>
                <c:pt idx="10">
                  <c:v>-4.3010752688172005</c:v>
                </c:pt>
                <c:pt idx="11">
                  <c:v>2.39520958083832</c:v>
                </c:pt>
                <c:pt idx="12">
                  <c:v>-12.084592145015105</c:v>
                </c:pt>
                <c:pt idx="13">
                  <c:v>10.000000000000009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9-4E15-B3FF-E3A5EA85D25B}"/>
            </c:ext>
          </c:extLst>
        </c:ser>
        <c:ser>
          <c:idx val="21"/>
          <c:order val="1"/>
          <c:tx>
            <c:strRef>
              <c:f>[2]分税种回溯!$B$101</c:f>
              <c:strCache>
                <c:ptCount val="1"/>
                <c:pt idx="0">
                  <c:v>2026-06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strRef>
              <c:f>[2]分税种回溯!$BU$3:$CH$3</c:f>
              <c:strCache>
                <c:ptCount val="14"/>
                <c:pt idx="0">
                  <c:v>增值税</c:v>
                </c:pt>
                <c:pt idx="1">
                  <c:v>消费税</c:v>
                </c:pt>
                <c:pt idx="2">
                  <c:v>企业
所得税</c:v>
                </c:pt>
                <c:pt idx="3">
                  <c:v>个人所得税</c:v>
                </c:pt>
                <c:pt idx="4">
                  <c:v>进口环节税收</c:v>
                </c:pt>
                <c:pt idx="5">
                  <c:v>关税</c:v>
                </c:pt>
                <c:pt idx="6">
                  <c:v>出口退税</c:v>
                </c:pt>
                <c:pt idx="7">
                  <c:v>城建税</c:v>
                </c:pt>
                <c:pt idx="8">
                  <c:v>土地
增值税</c:v>
                </c:pt>
                <c:pt idx="9">
                  <c:v>房产税</c:v>
                </c:pt>
                <c:pt idx="10">
                  <c:v>耕地
占用税</c:v>
                </c:pt>
                <c:pt idx="11">
                  <c:v>城镇土地使用税</c:v>
                </c:pt>
                <c:pt idx="12">
                  <c:v>契税</c:v>
                </c:pt>
                <c:pt idx="13">
                  <c:v>车辆购置税</c:v>
                </c:pt>
              </c:strCache>
            </c:strRef>
          </c:cat>
          <c:val>
            <c:numRef>
              <c:f>[2]分税种回溯!$CI$101:$CV$101</c:f>
              <c:numCache>
                <c:formatCode>0.00_ </c:formatCode>
                <c:ptCount val="14"/>
                <c:pt idx="0" formatCode="0.0_ ">
                  <c:v>4.9251307955980428</c:v>
                </c:pt>
                <c:pt idx="1">
                  <c:v>-5.2757793764988019</c:v>
                </c:pt>
                <c:pt idx="2">
                  <c:v>29.70168612191959</c:v>
                </c:pt>
                <c:pt idx="3">
                  <c:v>17.042971595047351</c:v>
                </c:pt>
                <c:pt idx="4">
                  <c:v>18.670248488918737</c:v>
                </c:pt>
                <c:pt idx="5">
                  <c:v>3.0612244897959107</c:v>
                </c:pt>
                <c:pt idx="6">
                  <c:v>11.897106109324751</c:v>
                </c:pt>
                <c:pt idx="7">
                  <c:v>3.937007874015741</c:v>
                </c:pt>
                <c:pt idx="8">
                  <c:v>-19.841269841269838</c:v>
                </c:pt>
                <c:pt idx="9" formatCode="0.0_ ">
                  <c:v>-4.2904290429042868</c:v>
                </c:pt>
                <c:pt idx="10">
                  <c:v>-10.138248847926267</c:v>
                </c:pt>
                <c:pt idx="11">
                  <c:v>-3.0927835051546393</c:v>
                </c:pt>
                <c:pt idx="12">
                  <c:v>-14.558472553699286</c:v>
                </c:pt>
                <c:pt idx="13">
                  <c:v>18.644067796610166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9-4E15-B3FF-E3A5EA85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9475848"/>
        <c:axId val="789479128"/>
        <c:extLst/>
      </c:barChart>
      <c:catAx>
        <c:axId val="789475848"/>
        <c:scaling>
          <c:orientation val="minMax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00000">
                <a:lumMod val="50000"/>
                <a:lumOff val="50000"/>
              </a:srgb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zh-CN" sz="1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789479128"/>
        <c:crosses val="autoZero"/>
        <c:auto val="1"/>
        <c:lblAlgn val="ctr"/>
        <c:lblOffset val="100"/>
        <c:tickLblSkip val="1"/>
        <c:noMultiLvlLbl val="0"/>
      </c:catAx>
      <c:valAx>
        <c:axId val="789479128"/>
        <c:scaling>
          <c:orientation val="minMax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 w="9525">
            <a:solidFill>
              <a:srgbClr val="000000">
                <a:lumMod val="50000"/>
                <a:lumOff val="50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789475848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49905619602630452"/>
          <c:y val="0.13585525014734962"/>
          <c:w val="0.19370502616474145"/>
          <c:h val="7.9842500311199466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800" b="0" i="0" u="none" strike="noStrike" kern="1200" baseline="0">
              <a:solidFill>
                <a:srgbClr val="000000"/>
              </a:solidFill>
              <a:latin typeface="Arial" panose="020B0604020202020204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800" baseline="0">
          <a:solidFill>
            <a:srgbClr val="000000"/>
          </a:solidFill>
          <a:latin typeface="Arial" panose="020B0604020202020204"/>
          <a:ea typeface="楷体_GB2312" panose="02010609030101010101" pitchFamily="49" charset="-122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160" b="0" i="0" u="none" strike="noStrike" kern="1200" spc="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r>
              <a:rPr lang="zh-CN" altLang="zh-CN"/>
              <a:t>各分项支出当月同比增速（%）</a:t>
            </a:r>
            <a:endParaRPr lang="zh-CN" altLang="en-US"/>
          </a:p>
        </c:rich>
      </c:tx>
      <c:layout>
        <c:manualLayout>
          <c:xMode val="edge"/>
          <c:yMode val="edge"/>
          <c:x val="0.3731806398114607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2160" b="0" i="0" u="none" strike="noStrike" kern="1200" spc="0" baseline="0">
              <a:solidFill>
                <a:srgbClr val="000000"/>
              </a:solidFill>
              <a:latin typeface="Arial" panose="020B0604020202020204"/>
              <a:ea typeface="楷体_GB2312" panose="02010609030101010101" pitchFamily="49" charset="-122"/>
              <a:cs typeface="Arial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147430665363068E-2"/>
          <c:y val="0.1133326931300529"/>
          <c:w val="0.95174980142277299"/>
          <c:h val="0.76617972222222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[2]支出分项!$B$230</c:f>
              <c:strCache>
                <c:ptCount val="1"/>
                <c:pt idx="0">
                  <c:v>2026-05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invertIfNegative val="0"/>
          <c:cat>
            <c:strRef>
              <c:f>[2]支出分项!$BA$2:$BJ$2</c:f>
              <c:strCache>
                <c:ptCount val="10"/>
                <c:pt idx="0">
                  <c:v>教育</c:v>
                </c:pt>
                <c:pt idx="1">
                  <c:v>科技</c:v>
                </c:pt>
                <c:pt idx="2">
                  <c:v>文体传媒</c:v>
                </c:pt>
                <c:pt idx="3">
                  <c:v>社保就业</c:v>
                </c:pt>
                <c:pt idx="4">
                  <c:v>卫健</c:v>
                </c:pt>
                <c:pt idx="5">
                  <c:v>节能环保</c:v>
                </c:pt>
                <c:pt idx="6">
                  <c:v>城乡社区</c:v>
                </c:pt>
                <c:pt idx="7">
                  <c:v>农林水</c:v>
                </c:pt>
                <c:pt idx="8">
                  <c:v>交运</c:v>
                </c:pt>
                <c:pt idx="9">
                  <c:v>债务付息</c:v>
                </c:pt>
              </c:strCache>
            </c:strRef>
          </c:cat>
          <c:val>
            <c:numRef>
              <c:f>[2]支出分项!$BK$230:$BT$230</c:f>
              <c:numCache>
                <c:formatCode>0.00_ </c:formatCode>
                <c:ptCount val="10"/>
                <c:pt idx="0">
                  <c:v>-0.50437121721587097</c:v>
                </c:pt>
                <c:pt idx="1">
                  <c:v>12.957317073170739</c:v>
                </c:pt>
                <c:pt idx="2">
                  <c:v>-19.852941176470583</c:v>
                </c:pt>
                <c:pt idx="3">
                  <c:v>1.3429106808244828</c:v>
                </c:pt>
                <c:pt idx="4">
                  <c:v>10.739191073919097</c:v>
                </c:pt>
                <c:pt idx="5">
                  <c:v>-19.062500000000004</c:v>
                </c:pt>
                <c:pt idx="6">
                  <c:v>-9.745762711864403</c:v>
                </c:pt>
                <c:pt idx="7">
                  <c:v>-15.684830633284241</c:v>
                </c:pt>
                <c:pt idx="8">
                  <c:v>-5.031446540880502</c:v>
                </c:pt>
                <c:pt idx="9">
                  <c:v>1.5989340439706901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3-4C96-AA02-E9FCEDAE8635}"/>
            </c:ext>
          </c:extLst>
        </c:ser>
        <c:ser>
          <c:idx val="1"/>
          <c:order val="1"/>
          <c:tx>
            <c:strRef>
              <c:f>[2]支出分项!$B$231</c:f>
              <c:strCache>
                <c:ptCount val="1"/>
                <c:pt idx="0">
                  <c:v>2026-06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/>
          </c:spPr>
          <c:invertIfNegative val="0"/>
          <c:cat>
            <c:strRef>
              <c:f>[2]支出分项!$BA$2:$BJ$2</c:f>
              <c:strCache>
                <c:ptCount val="10"/>
                <c:pt idx="0">
                  <c:v>教育</c:v>
                </c:pt>
                <c:pt idx="1">
                  <c:v>科技</c:v>
                </c:pt>
                <c:pt idx="2">
                  <c:v>文体传媒</c:v>
                </c:pt>
                <c:pt idx="3">
                  <c:v>社保就业</c:v>
                </c:pt>
                <c:pt idx="4">
                  <c:v>卫健</c:v>
                </c:pt>
                <c:pt idx="5">
                  <c:v>节能环保</c:v>
                </c:pt>
                <c:pt idx="6">
                  <c:v>城乡社区</c:v>
                </c:pt>
                <c:pt idx="7">
                  <c:v>农林水</c:v>
                </c:pt>
                <c:pt idx="8">
                  <c:v>交运</c:v>
                </c:pt>
                <c:pt idx="9">
                  <c:v>债务付息</c:v>
                </c:pt>
              </c:strCache>
            </c:strRef>
          </c:cat>
          <c:val>
            <c:numRef>
              <c:f>[2]支出分项!$BK$231:$BT$231</c:f>
              <c:numCache>
                <c:formatCode>0.00_ </c:formatCode>
                <c:ptCount val="10"/>
                <c:pt idx="0">
                  <c:v>5.3872889771598764</c:v>
                </c:pt>
                <c:pt idx="1">
                  <c:v>2.6248941574936513</c:v>
                </c:pt>
                <c:pt idx="2">
                  <c:v>-1.1235955056179803</c:v>
                </c:pt>
                <c:pt idx="3">
                  <c:v>13.168539325842698</c:v>
                </c:pt>
                <c:pt idx="4">
                  <c:v>8.7760910815939184</c:v>
                </c:pt>
                <c:pt idx="5">
                  <c:v>-15.664845173041897</c:v>
                </c:pt>
                <c:pt idx="6">
                  <c:v>0</c:v>
                </c:pt>
                <c:pt idx="7">
                  <c:v>-1.8082565677243312</c:v>
                </c:pt>
                <c:pt idx="8">
                  <c:v>1.7064846416382284</c:v>
                </c:pt>
                <c:pt idx="9">
                  <c:v>1.5450643776824036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3-4C96-AA02-E9FCEDAE8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8583855"/>
        <c:axId val="323820783"/>
      </c:barChart>
      <c:catAx>
        <c:axId val="318583855"/>
        <c:scaling>
          <c:orientation val="minMax"/>
        </c:scaling>
        <c:delete val="0"/>
        <c:axPos val="b"/>
        <c:numFmt formatCode="yy/m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000000">
                <a:lumMod val="50000"/>
                <a:lumOff val="50000"/>
              </a:srgb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zh-CN" sz="1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323820783"/>
        <c:crosses val="autoZero"/>
        <c:auto val="1"/>
        <c:lblAlgn val="ctr"/>
        <c:lblOffset val="100"/>
        <c:tickLblSkip val="1"/>
        <c:noMultiLvlLbl val="0"/>
      </c:catAx>
      <c:valAx>
        <c:axId val="323820783"/>
        <c:scaling>
          <c:orientation val="minMax"/>
          <c:max val="30"/>
        </c:scaling>
        <c:delete val="0"/>
        <c:axPos val="l"/>
        <c:numFmt formatCode="0_ " sourceLinked="0"/>
        <c:majorTickMark val="out"/>
        <c:minorTickMark val="none"/>
        <c:tickLblPos val="nextTo"/>
        <c:spPr>
          <a:noFill/>
          <a:ln>
            <a:solidFill>
              <a:srgbClr val="000000">
                <a:lumMod val="50000"/>
                <a:lumOff val="50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800" b="0" i="0" u="none" strike="noStrike" kern="1200" baseline="0">
                <a:solidFill>
                  <a:srgbClr val="000000"/>
                </a:solidFill>
                <a:latin typeface="Arial" panose="020B0604020202020204"/>
                <a:ea typeface="楷体_GB2312" panose="02010609030101010101" pitchFamily="49" charset="-122"/>
                <a:cs typeface="Arial"/>
              </a:defRPr>
            </a:pPr>
            <a:endParaRPr lang="zh-CN"/>
          </a:p>
        </c:txPr>
        <c:crossAx val="3185838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800" b="0" i="0" u="none" strike="noStrike" kern="1200" baseline="0">
              <a:solidFill>
                <a:srgbClr val="000000"/>
              </a:solidFill>
              <a:latin typeface="Arial" panose="020B0604020202020204"/>
              <a:ea typeface="楷体_GB2312" panose="02010609030101010101" pitchFamily="49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lang="zh-CN" sz="1800" baseline="0">
          <a:solidFill>
            <a:srgbClr val="000000"/>
          </a:solidFill>
          <a:latin typeface="Arial" panose="020B0604020202020204"/>
          <a:ea typeface="楷体_GB2312" panose="02010609030101010101" pitchFamily="49" charset="-122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158749</xdr:colOff>
      <xdr:row>34</xdr:row>
      <xdr:rowOff>79375</xdr:rowOff>
    </xdr:from>
    <xdr:to>
      <xdr:col>18</xdr:col>
      <xdr:colOff>571500</xdr:colOff>
      <xdr:row>51</xdr:row>
      <xdr:rowOff>166686</xdr:rowOff>
    </xdr:to>
    <xdr:graphicFrame macro="">
      <xdr:nvGraphicFramePr>
        <xdr:cNvPr id="2" name="图表 9">
          <a:extLst>
            <a:ext uri="{FF2B5EF4-FFF2-40B4-BE49-F238E27FC236}">
              <a16:creationId xmlns:a16="http://schemas.microsoft.com/office/drawing/2014/main" id="{A6330FEE-3CCC-4676-9C05-BAC982DD8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56696</xdr:colOff>
      <xdr:row>16</xdr:row>
      <xdr:rowOff>49892</xdr:rowOff>
    </xdr:from>
    <xdr:to>
      <xdr:col>18</xdr:col>
      <xdr:colOff>517070</xdr:colOff>
      <xdr:row>33</xdr:row>
      <xdr:rowOff>73704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DF0CE8F-12D8-44E9-A866-4D2DEDD0B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23813</xdr:colOff>
      <xdr:row>52</xdr:row>
      <xdr:rowOff>127000</xdr:rowOff>
    </xdr:from>
    <xdr:to>
      <xdr:col>8</xdr:col>
      <xdr:colOff>500063</xdr:colOff>
      <xdr:row>69</xdr:row>
      <xdr:rowOff>103187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642D284-2DB5-4534-895B-9AB3D94F9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523876</xdr:colOff>
      <xdr:row>52</xdr:row>
      <xdr:rowOff>127001</xdr:rowOff>
    </xdr:from>
    <xdr:to>
      <xdr:col>18</xdr:col>
      <xdr:colOff>444501</xdr:colOff>
      <xdr:row>69</xdr:row>
      <xdr:rowOff>15875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97DE3F3-2D36-4166-A51E-C5B1607C5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17235</xdr:colOff>
      <xdr:row>106</xdr:row>
      <xdr:rowOff>51252</xdr:rowOff>
    </xdr:from>
    <xdr:to>
      <xdr:col>8</xdr:col>
      <xdr:colOff>525236</xdr:colOff>
      <xdr:row>123</xdr:row>
      <xdr:rowOff>87764</xdr:rowOff>
    </xdr:to>
    <xdr:graphicFrame macro="">
      <xdr:nvGraphicFramePr>
        <xdr:cNvPr id="6" name="图表 6">
          <a:extLst>
            <a:ext uri="{FF2B5EF4-FFF2-40B4-BE49-F238E27FC236}">
              <a16:creationId xmlns:a16="http://schemas.microsoft.com/office/drawing/2014/main" id="{32BF36FB-3140-4E87-8583-15A200950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460376</xdr:colOff>
      <xdr:row>106</xdr:row>
      <xdr:rowOff>63501</xdr:rowOff>
    </xdr:from>
    <xdr:to>
      <xdr:col>18</xdr:col>
      <xdr:colOff>547687</xdr:colOff>
      <xdr:row>123</xdr:row>
      <xdr:rowOff>39688</xdr:rowOff>
    </xdr:to>
    <xdr:graphicFrame macro="">
      <xdr:nvGraphicFramePr>
        <xdr:cNvPr id="7" name="图表 7">
          <a:extLst>
            <a:ext uri="{FF2B5EF4-FFF2-40B4-BE49-F238E27FC236}">
              <a16:creationId xmlns:a16="http://schemas.microsoft.com/office/drawing/2014/main" id="{7DA1C971-29E1-4365-9815-FFA9D519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476250</xdr:colOff>
      <xdr:row>67</xdr:row>
      <xdr:rowOff>124114</xdr:rowOff>
    </xdr:from>
    <xdr:to>
      <xdr:col>18</xdr:col>
      <xdr:colOff>343435</xdr:colOff>
      <xdr:row>84</xdr:row>
      <xdr:rowOff>6946</xdr:rowOff>
    </xdr:to>
    <xdr:graphicFrame macro="">
      <xdr:nvGraphicFramePr>
        <xdr:cNvPr id="8" name="图表 15">
          <a:extLst>
            <a:ext uri="{FF2B5EF4-FFF2-40B4-BE49-F238E27FC236}">
              <a16:creationId xmlns:a16="http://schemas.microsoft.com/office/drawing/2014/main" id="{7BCD2345-E408-49A2-B790-FAA60FF29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0</xdr:col>
      <xdr:colOff>524783</xdr:colOff>
      <xdr:row>85</xdr:row>
      <xdr:rowOff>163122</xdr:rowOff>
    </xdr:from>
    <xdr:to>
      <xdr:col>18</xdr:col>
      <xdr:colOff>313852</xdr:colOff>
      <xdr:row>103</xdr:row>
      <xdr:rowOff>48680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C9A222C-8A83-4BBD-AB11-DEC6B2822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20</xdr:col>
      <xdr:colOff>123291</xdr:colOff>
      <xdr:row>65</xdr:row>
      <xdr:rowOff>15072</xdr:rowOff>
    </xdr:from>
    <xdr:to>
      <xdr:col>27</xdr:col>
      <xdr:colOff>190353</xdr:colOff>
      <xdr:row>79</xdr:row>
      <xdr:rowOff>53747</xdr:rowOff>
    </xdr:to>
    <xdr:graphicFrame macro="">
      <xdr:nvGraphicFramePr>
        <xdr:cNvPr id="10" name="图表 13">
          <a:extLst>
            <a:ext uri="{FF2B5EF4-FFF2-40B4-BE49-F238E27FC236}">
              <a16:creationId xmlns:a16="http://schemas.microsoft.com/office/drawing/2014/main" id="{9892320E-30AA-4579-B003-DBE417918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27</xdr:col>
      <xdr:colOff>777839</xdr:colOff>
      <xdr:row>64</xdr:row>
      <xdr:rowOff>110968</xdr:rowOff>
    </xdr:from>
    <xdr:to>
      <xdr:col>34</xdr:col>
      <xdr:colOff>425529</xdr:colOff>
      <xdr:row>78</xdr:row>
      <xdr:rowOff>166831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17D83AB-B2F8-490C-834B-D412BE92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20</xdr:col>
      <xdr:colOff>132568</xdr:colOff>
      <xdr:row>17</xdr:row>
      <xdr:rowOff>34636</xdr:rowOff>
    </xdr:from>
    <xdr:to>
      <xdr:col>33</xdr:col>
      <xdr:colOff>496456</xdr:colOff>
      <xdr:row>32</xdr:row>
      <xdr:rowOff>77723</xdr:rowOff>
    </xdr:to>
    <xdr:graphicFrame macro="">
      <xdr:nvGraphicFramePr>
        <xdr:cNvPr id="12" name="图表 1">
          <a:extLst>
            <a:ext uri="{FF2B5EF4-FFF2-40B4-BE49-F238E27FC236}">
              <a16:creationId xmlns:a16="http://schemas.microsoft.com/office/drawing/2014/main" id="{A991D4BA-1AE2-4F40-8C4F-BFDDCC74C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20</xdr:col>
      <xdr:colOff>150092</xdr:colOff>
      <xdr:row>42</xdr:row>
      <xdr:rowOff>100957</xdr:rowOff>
    </xdr:from>
    <xdr:to>
      <xdr:col>33</xdr:col>
      <xdr:colOff>555504</xdr:colOff>
      <xdr:row>59</xdr:row>
      <xdr:rowOff>117805</xdr:rowOff>
    </xdr:to>
    <xdr:graphicFrame macro="">
      <xdr:nvGraphicFramePr>
        <xdr:cNvPr id="13" name="图表 2">
          <a:extLst>
            <a:ext uri="{FF2B5EF4-FFF2-40B4-BE49-F238E27FC236}">
              <a16:creationId xmlns:a16="http://schemas.microsoft.com/office/drawing/2014/main" id="{79A64EAF-4B3D-474B-B18C-986351B7D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PIPPI/&#12304;&#21326;&#31119;&#23439;&#35266;%20&#38472;&#20852;&#22242;&#38431;&#12305;&#29289;&#20215;&#19968;&#22270;&#24213;&#31295;.xlsx" TargetMode="External"/><Relationship Id="rId2" Type="http://schemas.openxmlformats.org/officeDocument/2006/relationships/externalLinkPath" Target="https://d.docs.live.net/1934b1768097d8e9/&#26700;&#38754;/CPIPPI/&#12304;&#21326;&#31119;&#23439;&#35266;%20&#38472;&#20852;&#22242;&#38431;&#12305;&#29289;&#20215;&#19968;&#22270;&#24213;&#31295;.xlsx" TargetMode="External"/><Relationship Id="rId1" Type="http://schemas.openxmlformats.org/officeDocument/2006/relationships/externalLinkPath" Target="/1934b1768097d8e9/&#26700;&#38754;/CPIPPI/&#12304;&#21326;&#31119;&#23439;&#35266;%20&#38472;&#20852;&#22242;&#38431;&#12305;&#29289;&#20215;&#19968;&#22270;&#24213;&#31295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scal%20Policy/&#12304;&#21326;&#31119;&#23439;&#35266;%20&#38472;&#20852;&#22242;&#38431;&#12305;&#36130;&#25919;&#25968;&#25454;&#19968;&#22270;&#24213;&#31295;04.xlsx" TargetMode="External"/><Relationship Id="rId2" Type="http://schemas.openxmlformats.org/officeDocument/2006/relationships/externalLinkPath" Target="https://d.docs.live.net/1934B1768097D8E9/&#26700;&#38754;/Fiscal%20Policy/&#12304;&#21326;&#31119;&#23439;&#35266;%20&#38472;&#20852;&#22242;&#38431;&#12305;&#36130;&#25919;&#25968;&#25454;&#19968;&#22270;&#24213;&#31295;04.xlsx" TargetMode="External"/><Relationship Id="rId1" Type="http://schemas.openxmlformats.org/officeDocument/2006/relationships/externalLinkPath" Target="/1934B1768097D8E9/&#26700;&#38754;/Fiscal%20Policy/&#12304;&#21326;&#31119;&#23439;&#35266;%20&#38472;&#20852;&#22242;&#38431;&#12305;&#36130;&#25919;&#25968;&#25454;&#19968;&#22270;&#24213;&#31295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报告文字说明"/>
      <sheetName val="物价数据快报"/>
      <sheetName val="快报图"/>
      <sheetName val="快报3图"/>
      <sheetName val="制作快报"/>
      <sheetName val="CPI-快报图2"/>
      <sheetName val="PPI-快报图3"/>
      <sheetName val="PPI-完整权重"/>
      <sheetName val="快报粘贴"/>
      <sheetName val="目录"/>
      <sheetName val="图表合集"/>
      <sheetName val="CPI-消费品&amp;服务 (2)"/>
      <sheetName val="CPI&amp;核心CPI"/>
      <sheetName val="CPI-新涨价&amp;翘尾"/>
      <sheetName val="CPI-各分项"/>
      <sheetName val="CPI-食品&amp;非食品"/>
      <sheetName val="CPI-消费品&amp;服务"/>
      <sheetName val="CPI-食品高频数据"/>
      <sheetName val="CPI-预测-指数预测法"/>
      <sheetName val="CPI-预测-分项预测法"/>
      <sheetName val="PPI-新涨价"/>
      <sheetName val="PPI-生产资料"/>
      <sheetName val="PPI-生活资料"/>
      <sheetName val="PPI-分行业"/>
      <sheetName val="Sheet1"/>
      <sheetName val="CPI+PPI"/>
      <sheetName val="图3"/>
      <sheetName val="交通工具用燃料"/>
      <sheetName val="图6 菜蛋肉价"/>
      <sheetName val="家用器具"/>
      <sheetName val="Sheet2"/>
      <sheetName val="Sheet3"/>
    </sheetNames>
    <sheetDataSet>
      <sheetData sheetId="0" refreshError="1"/>
      <sheetData sheetId="1">
        <row r="5">
          <cell r="E5">
            <v>46203</v>
          </cell>
          <cell r="F5">
            <v>46173</v>
          </cell>
          <cell r="G5">
            <v>46142</v>
          </cell>
          <cell r="H5">
            <v>46112</v>
          </cell>
          <cell r="I5">
            <v>46081</v>
          </cell>
          <cell r="J5">
            <v>46053</v>
          </cell>
          <cell r="K5">
            <v>46022</v>
          </cell>
          <cell r="L5">
            <v>45991</v>
          </cell>
          <cell r="M5">
            <v>45961</v>
          </cell>
          <cell r="N5">
            <v>45930</v>
          </cell>
          <cell r="O5">
            <v>45900</v>
          </cell>
          <cell r="P5">
            <v>45869</v>
          </cell>
          <cell r="Q5">
            <v>45838</v>
          </cell>
          <cell r="R5">
            <v>45808</v>
          </cell>
          <cell r="S5">
            <v>45777</v>
          </cell>
          <cell r="T5">
            <v>45747</v>
          </cell>
        </row>
        <row r="6">
          <cell r="E6">
            <v>1</v>
          </cell>
          <cell r="F6">
            <v>1.2</v>
          </cell>
          <cell r="G6">
            <v>1.2</v>
          </cell>
          <cell r="H6">
            <v>1</v>
          </cell>
          <cell r="I6">
            <v>1.3</v>
          </cell>
          <cell r="J6">
            <v>0.2</v>
          </cell>
          <cell r="K6">
            <v>0.8</v>
          </cell>
          <cell r="L6">
            <v>0.7</v>
          </cell>
          <cell r="M6">
            <v>0.2</v>
          </cell>
          <cell r="N6">
            <v>-0.3</v>
          </cell>
          <cell r="O6">
            <v>-0.4</v>
          </cell>
          <cell r="P6">
            <v>0</v>
          </cell>
          <cell r="Q6">
            <v>0.1</v>
          </cell>
          <cell r="R6">
            <v>-0.1</v>
          </cell>
          <cell r="S6">
            <v>-0.1</v>
          </cell>
          <cell r="T6">
            <v>-0.1</v>
          </cell>
        </row>
        <row r="7">
          <cell r="E7">
            <v>1</v>
          </cell>
          <cell r="F7">
            <v>1.1000000000000001</v>
          </cell>
          <cell r="G7">
            <v>1.2</v>
          </cell>
          <cell r="H7">
            <v>1.1000000000000001</v>
          </cell>
          <cell r="I7">
            <v>1.8</v>
          </cell>
          <cell r="J7">
            <v>0.8</v>
          </cell>
          <cell r="K7">
            <v>1.2</v>
          </cell>
          <cell r="L7">
            <v>1.2</v>
          </cell>
          <cell r="M7">
            <v>1.2</v>
          </cell>
          <cell r="N7">
            <v>1</v>
          </cell>
          <cell r="O7">
            <v>0.9</v>
          </cell>
          <cell r="P7">
            <v>0.8</v>
          </cell>
          <cell r="Q7">
            <v>0.7</v>
          </cell>
          <cell r="R7">
            <v>0.6</v>
          </cell>
          <cell r="S7">
            <v>0.5</v>
          </cell>
          <cell r="T7">
            <v>0.5</v>
          </cell>
        </row>
        <row r="8">
          <cell r="E8">
            <v>-1.6</v>
          </cell>
          <cell r="F8">
            <v>-1.7</v>
          </cell>
          <cell r="G8">
            <v>-1.6</v>
          </cell>
          <cell r="H8">
            <v>0.3</v>
          </cell>
          <cell r="I8">
            <v>1.7</v>
          </cell>
          <cell r="J8">
            <v>-0.7</v>
          </cell>
          <cell r="K8">
            <v>1.1000000000000001</v>
          </cell>
          <cell r="L8">
            <v>0.2</v>
          </cell>
          <cell r="M8">
            <v>-2.9</v>
          </cell>
          <cell r="N8">
            <v>-4.4000000000000004</v>
          </cell>
          <cell r="O8">
            <v>-4.3</v>
          </cell>
          <cell r="P8">
            <v>-1.6</v>
          </cell>
          <cell r="Q8">
            <v>-0.3</v>
          </cell>
          <cell r="R8">
            <v>-0.4</v>
          </cell>
          <cell r="S8">
            <v>-0.2</v>
          </cell>
          <cell r="T8">
            <v>-1.4</v>
          </cell>
        </row>
        <row r="9">
          <cell r="E9">
            <v>1.5</v>
          </cell>
          <cell r="F9">
            <v>1.9</v>
          </cell>
          <cell r="G9">
            <v>1.8</v>
          </cell>
          <cell r="H9">
            <v>1.2</v>
          </cell>
          <cell r="I9">
            <v>1.3</v>
          </cell>
          <cell r="J9">
            <v>0.4</v>
          </cell>
          <cell r="K9">
            <v>0.8</v>
          </cell>
          <cell r="L9">
            <v>0.8</v>
          </cell>
          <cell r="M9">
            <v>0.9</v>
          </cell>
          <cell r="N9">
            <v>0.7</v>
          </cell>
          <cell r="O9">
            <v>0.5</v>
          </cell>
          <cell r="P9">
            <v>0.3</v>
          </cell>
          <cell r="Q9">
            <v>0.1</v>
          </cell>
          <cell r="R9">
            <v>0</v>
          </cell>
          <cell r="S9">
            <v>0</v>
          </cell>
          <cell r="T9">
            <v>0.2</v>
          </cell>
        </row>
        <row r="10">
          <cell r="E10">
            <v>-0.3</v>
          </cell>
          <cell r="F10">
            <v>-0.1</v>
          </cell>
          <cell r="G10">
            <v>0.3</v>
          </cell>
          <cell r="H10">
            <v>-0.7</v>
          </cell>
          <cell r="I10">
            <v>1</v>
          </cell>
          <cell r="J10">
            <v>0.2</v>
          </cell>
          <cell r="K10">
            <v>0.2</v>
          </cell>
          <cell r="L10">
            <v>-0.1</v>
          </cell>
          <cell r="M10">
            <v>0.2</v>
          </cell>
          <cell r="N10">
            <v>0.1</v>
          </cell>
          <cell r="O10">
            <v>0</v>
          </cell>
          <cell r="P10">
            <v>0.4</v>
          </cell>
          <cell r="Q10">
            <v>-0.1</v>
          </cell>
          <cell r="R10">
            <v>-0.2</v>
          </cell>
          <cell r="S10">
            <v>0.1</v>
          </cell>
          <cell r="T10">
            <v>-0.4</v>
          </cell>
        </row>
        <row r="11">
          <cell r="E11">
            <v>-0.1</v>
          </cell>
          <cell r="F11">
            <v>-0.1</v>
          </cell>
          <cell r="G11">
            <v>0.2</v>
          </cell>
          <cell r="H11">
            <v>-0.7</v>
          </cell>
          <cell r="I11">
            <v>0.7</v>
          </cell>
          <cell r="J11">
            <v>0.3</v>
          </cell>
          <cell r="K11">
            <v>0.2</v>
          </cell>
          <cell r="L11">
            <v>-0.1</v>
          </cell>
          <cell r="M11">
            <v>0.2</v>
          </cell>
          <cell r="N11">
            <v>0</v>
          </cell>
          <cell r="O11">
            <v>0</v>
          </cell>
          <cell r="P11">
            <v>0.4</v>
          </cell>
          <cell r="Q11">
            <v>0</v>
          </cell>
          <cell r="R11">
            <v>0</v>
          </cell>
          <cell r="S11">
            <v>0.2</v>
          </cell>
          <cell r="T11">
            <v>0</v>
          </cell>
        </row>
        <row r="12">
          <cell r="E12">
            <v>-0.4</v>
          </cell>
          <cell r="F12">
            <v>-0.4</v>
          </cell>
          <cell r="G12">
            <v>-0.1</v>
          </cell>
          <cell r="H12">
            <v>0.4</v>
          </cell>
          <cell r="I12">
            <v>0.5</v>
          </cell>
          <cell r="J12">
            <v>-0.7</v>
          </cell>
          <cell r="K12">
            <v>-1.5</v>
          </cell>
          <cell r="L12">
            <v>-1.7</v>
          </cell>
          <cell r="M12">
            <v>-1.9</v>
          </cell>
          <cell r="N12">
            <v>-1.8</v>
          </cell>
          <cell r="O12">
            <v>-1.4</v>
          </cell>
          <cell r="P12">
            <v>-1</v>
          </cell>
          <cell r="Q12">
            <v>-0.9</v>
          </cell>
          <cell r="R12">
            <v>-1</v>
          </cell>
          <cell r="S12">
            <v>-1.1000000000000001</v>
          </cell>
          <cell r="T12">
            <v>-1.5</v>
          </cell>
        </row>
        <row r="13">
          <cell r="E13">
            <v>-0.3</v>
          </cell>
          <cell r="F13">
            <v>1.3</v>
          </cell>
          <cell r="G13">
            <v>1.1000000000000001</v>
          </cell>
          <cell r="H13">
            <v>0.9</v>
          </cell>
          <cell r="I13">
            <v>0.8</v>
          </cell>
          <cell r="J13">
            <v>0.4</v>
          </cell>
          <cell r="K13">
            <v>0.4</v>
          </cell>
          <cell r="L13">
            <v>0.3</v>
          </cell>
          <cell r="M13">
            <v>0.3</v>
          </cell>
          <cell r="N13">
            <v>0.2</v>
          </cell>
          <cell r="O13">
            <v>0.2</v>
          </cell>
          <cell r="P13">
            <v>0.1</v>
          </cell>
          <cell r="Q13">
            <v>0.1</v>
          </cell>
          <cell r="R13">
            <v>0.1</v>
          </cell>
          <cell r="S13">
            <v>0.1</v>
          </cell>
          <cell r="T13">
            <v>0.2</v>
          </cell>
        </row>
        <row r="14">
          <cell r="E14">
            <v>4.0999999999999996</v>
          </cell>
          <cell r="F14">
            <v>3.9</v>
          </cell>
          <cell r="G14">
            <v>2.8</v>
          </cell>
          <cell r="H14">
            <v>0.5</v>
          </cell>
          <cell r="I14">
            <v>-0.9</v>
          </cell>
          <cell r="J14">
            <v>-1.4</v>
          </cell>
          <cell r="K14">
            <v>-1.9</v>
          </cell>
          <cell r="L14">
            <v>-2.2000000000000002</v>
          </cell>
          <cell r="M14">
            <v>-2.1</v>
          </cell>
          <cell r="N14">
            <v>-2.2999999999999998</v>
          </cell>
          <cell r="O14">
            <v>-2.9</v>
          </cell>
          <cell r="P14">
            <v>-3.6</v>
          </cell>
          <cell r="Q14">
            <v>-3.6</v>
          </cell>
          <cell r="R14">
            <v>-3.3</v>
          </cell>
          <cell r="S14">
            <v>-2.7</v>
          </cell>
          <cell r="T14">
            <v>-2.5</v>
          </cell>
        </row>
        <row r="15">
          <cell r="E15">
            <v>5.5</v>
          </cell>
          <cell r="F15">
            <v>5.2</v>
          </cell>
          <cell r="G15">
            <v>3.8</v>
          </cell>
          <cell r="H15">
            <v>1</v>
          </cell>
          <cell r="I15">
            <v>-0.7</v>
          </cell>
          <cell r="J15">
            <v>-1.3</v>
          </cell>
          <cell r="K15">
            <v>-2.1</v>
          </cell>
          <cell r="L15">
            <v>-2.4</v>
          </cell>
          <cell r="M15">
            <v>-2.4</v>
          </cell>
          <cell r="N15">
            <v>-2.4</v>
          </cell>
          <cell r="O15">
            <v>-3.2</v>
          </cell>
          <cell r="P15">
            <v>-4.3</v>
          </cell>
          <cell r="Q15">
            <v>-4.4000000000000004</v>
          </cell>
          <cell r="R15">
            <v>-4</v>
          </cell>
          <cell r="S15">
            <v>-3.1</v>
          </cell>
          <cell r="T15">
            <v>-2.8</v>
          </cell>
        </row>
        <row r="16">
          <cell r="E16">
            <v>-0.9</v>
          </cell>
          <cell r="F16">
            <v>-0.8</v>
          </cell>
          <cell r="G16">
            <v>-1</v>
          </cell>
          <cell r="H16">
            <v>-1.3</v>
          </cell>
          <cell r="I16">
            <v>-1.6</v>
          </cell>
          <cell r="J16">
            <v>-1.7</v>
          </cell>
          <cell r="K16">
            <v>-1.3</v>
          </cell>
          <cell r="L16">
            <v>-1.5</v>
          </cell>
          <cell r="M16">
            <v>-1.4</v>
          </cell>
          <cell r="N16">
            <v>-1.7</v>
          </cell>
          <cell r="O16">
            <v>-1.7</v>
          </cell>
          <cell r="P16">
            <v>-1.6</v>
          </cell>
          <cell r="Q16">
            <v>-1.4</v>
          </cell>
          <cell r="R16">
            <v>-1.4</v>
          </cell>
          <cell r="S16">
            <v>-1.6</v>
          </cell>
          <cell r="T16">
            <v>-1.5</v>
          </cell>
        </row>
        <row r="17">
          <cell r="E17">
            <v>-0.3</v>
          </cell>
          <cell r="F17">
            <v>0.5</v>
          </cell>
          <cell r="G17">
            <v>1.7</v>
          </cell>
          <cell r="H17">
            <v>1</v>
          </cell>
          <cell r="I17">
            <v>0.4</v>
          </cell>
          <cell r="J17">
            <v>0.4</v>
          </cell>
          <cell r="K17">
            <v>0.2</v>
          </cell>
          <cell r="L17">
            <v>0.1</v>
          </cell>
          <cell r="M17">
            <v>0.1</v>
          </cell>
          <cell r="N17">
            <v>0</v>
          </cell>
          <cell r="O17">
            <v>0</v>
          </cell>
          <cell r="P17">
            <v>-0.2</v>
          </cell>
          <cell r="Q17">
            <v>-0.4</v>
          </cell>
          <cell r="R17">
            <v>-0.4</v>
          </cell>
          <cell r="S17">
            <v>-0.4</v>
          </cell>
          <cell r="T17">
            <v>-0.4</v>
          </cell>
        </row>
        <row r="18">
          <cell r="E18">
            <v>-0.3</v>
          </cell>
          <cell r="F18">
            <v>0.7</v>
          </cell>
          <cell r="G18">
            <v>2.1</v>
          </cell>
          <cell r="H18">
            <v>1.3</v>
          </cell>
          <cell r="I18">
            <v>0.5</v>
          </cell>
          <cell r="J18">
            <v>0.5</v>
          </cell>
          <cell r="K18">
            <v>0.3</v>
          </cell>
          <cell r="L18">
            <v>0.1</v>
          </cell>
          <cell r="M18">
            <v>0.1</v>
          </cell>
          <cell r="N18">
            <v>0</v>
          </cell>
          <cell r="O18">
            <v>0.1</v>
          </cell>
          <cell r="P18">
            <v>-0.2</v>
          </cell>
          <cell r="Q18">
            <v>-0.6</v>
          </cell>
          <cell r="R18">
            <v>-0.6</v>
          </cell>
          <cell r="S18">
            <v>-0.5</v>
          </cell>
          <cell r="T18">
            <v>-0.4</v>
          </cell>
        </row>
        <row r="19">
          <cell r="E19">
            <v>-0.3</v>
          </cell>
          <cell r="F19">
            <v>0</v>
          </cell>
          <cell r="G19">
            <v>-0.1</v>
          </cell>
          <cell r="H19">
            <v>-0.1</v>
          </cell>
          <cell r="I19">
            <v>0</v>
          </cell>
          <cell r="J19">
            <v>0.1</v>
          </cell>
          <cell r="K19">
            <v>0</v>
          </cell>
          <cell r="L19">
            <v>0</v>
          </cell>
          <cell r="M19">
            <v>0</v>
          </cell>
          <cell r="N19">
            <v>-0.2</v>
          </cell>
          <cell r="O19">
            <v>-0.1</v>
          </cell>
          <cell r="P19">
            <v>-0.2</v>
          </cell>
          <cell r="Q19">
            <v>-0.1</v>
          </cell>
          <cell r="R19">
            <v>0</v>
          </cell>
          <cell r="S19">
            <v>-0.2</v>
          </cell>
          <cell r="T19">
            <v>-0.4</v>
          </cell>
        </row>
      </sheetData>
      <sheetData sheetId="2">
        <row r="14">
          <cell r="E14" t="str">
            <v>采掘</v>
          </cell>
          <cell r="F14" t="str">
            <v>原材料</v>
          </cell>
          <cell r="G14" t="str">
            <v>加工</v>
          </cell>
          <cell r="L14" t="str">
            <v>消费品</v>
          </cell>
          <cell r="M14" t="str">
            <v>服务</v>
          </cell>
          <cell r="S14" t="str">
            <v>食品</v>
          </cell>
          <cell r="T14" t="str">
            <v>衣着</v>
          </cell>
          <cell r="U14" t="str">
            <v>日用品</v>
          </cell>
          <cell r="V14" t="str">
            <v>耐用消费品</v>
          </cell>
          <cell r="AB14" t="str">
            <v>粮食</v>
          </cell>
          <cell r="AC14" t="str">
            <v>食用油</v>
          </cell>
          <cell r="AD14" t="str">
            <v>鲜菜</v>
          </cell>
          <cell r="AE14" t="str">
            <v>畜肉类</v>
          </cell>
          <cell r="AF14" t="str">
            <v>猪肉</v>
          </cell>
          <cell r="AG14" t="str">
            <v>水产品</v>
          </cell>
          <cell r="AH14" t="str">
            <v>蛋类</v>
          </cell>
          <cell r="AI14" t="str">
            <v>奶类</v>
          </cell>
          <cell r="AJ14" t="str">
            <v>鲜果</v>
          </cell>
        </row>
        <row r="204">
          <cell r="D204">
            <v>46142</v>
          </cell>
          <cell r="E204">
            <v>5.7</v>
          </cell>
          <cell r="F204">
            <v>4.9000000000000004</v>
          </cell>
          <cell r="G204">
            <v>0.4</v>
          </cell>
          <cell r="R204">
            <v>46142</v>
          </cell>
          <cell r="S204">
            <v>-0.4</v>
          </cell>
          <cell r="T204">
            <v>-0.1</v>
          </cell>
          <cell r="U204">
            <v>0.1</v>
          </cell>
          <cell r="V204">
            <v>0.1</v>
          </cell>
          <cell r="AA204">
            <v>46142</v>
          </cell>
          <cell r="AB204">
            <v>0</v>
          </cell>
          <cell r="AC204">
            <v>-0.3</v>
          </cell>
          <cell r="AD204">
            <v>-6.4</v>
          </cell>
          <cell r="AE204">
            <v>-2.7</v>
          </cell>
          <cell r="AF204">
            <v>-5.7</v>
          </cell>
          <cell r="AG204">
            <v>-1.2</v>
          </cell>
          <cell r="AH204">
            <v>2.7</v>
          </cell>
          <cell r="AI204">
            <v>-0.3</v>
          </cell>
          <cell r="AJ204">
            <v>-2.2999999999999998</v>
          </cell>
        </row>
        <row r="205">
          <cell r="D205">
            <v>46173</v>
          </cell>
          <cell r="E205">
            <v>1.5</v>
          </cell>
          <cell r="F205">
            <v>0.9</v>
          </cell>
          <cell r="G205">
            <v>0.5</v>
          </cell>
          <cell r="R205">
            <v>46173</v>
          </cell>
          <cell r="S205">
            <v>-0.1</v>
          </cell>
          <cell r="T205">
            <v>0.1</v>
          </cell>
          <cell r="U205">
            <v>0.1</v>
          </cell>
          <cell r="V205">
            <v>0.1</v>
          </cell>
          <cell r="AA205">
            <v>46173</v>
          </cell>
          <cell r="AB205">
            <v>-0.2</v>
          </cell>
          <cell r="AC205">
            <v>-0.4</v>
          </cell>
          <cell r="AD205">
            <v>-3.6</v>
          </cell>
          <cell r="AE205">
            <v>-0.8</v>
          </cell>
          <cell r="AF205">
            <v>-1.6</v>
          </cell>
          <cell r="AG205">
            <v>0</v>
          </cell>
          <cell r="AH205">
            <v>5</v>
          </cell>
          <cell r="AI205">
            <v>-0.2</v>
          </cell>
          <cell r="AJ205">
            <v>0.6</v>
          </cell>
        </row>
        <row r="206">
          <cell r="D206">
            <v>46203</v>
          </cell>
          <cell r="E206">
            <v>-0.9</v>
          </cell>
          <cell r="F206">
            <v>-1.2</v>
          </cell>
          <cell r="G206">
            <v>0.2</v>
          </cell>
          <cell r="R206">
            <v>46203</v>
          </cell>
          <cell r="S206">
            <v>-0.8</v>
          </cell>
          <cell r="T206">
            <v>0</v>
          </cell>
          <cell r="U206">
            <v>-0.1</v>
          </cell>
          <cell r="V206">
            <v>0</v>
          </cell>
          <cell r="AA206">
            <v>46203</v>
          </cell>
          <cell r="AB206">
            <v>-0.1</v>
          </cell>
          <cell r="AC206">
            <v>0</v>
          </cell>
          <cell r="AD206">
            <v>-1</v>
          </cell>
          <cell r="AE206">
            <v>-0.5</v>
          </cell>
          <cell r="AF206">
            <v>-0.8</v>
          </cell>
          <cell r="AG206">
            <v>-0.6</v>
          </cell>
          <cell r="AH206">
            <v>5.8</v>
          </cell>
          <cell r="AI206">
            <v>-0.3</v>
          </cell>
          <cell r="AJ206">
            <v>-2</v>
          </cell>
        </row>
        <row r="215">
          <cell r="K215">
            <v>46142</v>
          </cell>
          <cell r="L215">
            <v>0.1</v>
          </cell>
          <cell r="M215">
            <v>0.5</v>
          </cell>
        </row>
        <row r="216">
          <cell r="K216">
            <v>46173</v>
          </cell>
          <cell r="L216">
            <v>-0.2</v>
          </cell>
          <cell r="M216">
            <v>-0.1</v>
          </cell>
        </row>
        <row r="217">
          <cell r="K217">
            <v>46203</v>
          </cell>
          <cell r="L217">
            <v>-0.6</v>
          </cell>
          <cell r="M217">
            <v>0</v>
          </cell>
        </row>
      </sheetData>
      <sheetData sheetId="3" refreshError="1"/>
      <sheetData sheetId="4" refreshError="1"/>
      <sheetData sheetId="5">
        <row r="4">
          <cell r="R4" t="str">
            <v>食品烟酒</v>
          </cell>
          <cell r="S4" t="str">
            <v>衣着</v>
          </cell>
          <cell r="T4" t="str">
            <v>居住</v>
          </cell>
          <cell r="U4" t="str">
            <v>生活用品及服务</v>
          </cell>
          <cell r="V4" t="str">
            <v>交通和通信</v>
          </cell>
          <cell r="W4" t="str">
            <v>教育文化和娱乐</v>
          </cell>
          <cell r="X4" t="str">
            <v>医疗保健</v>
          </cell>
          <cell r="Y4" t="str">
            <v>其他用品和服务</v>
          </cell>
          <cell r="Z4" t="str">
            <v>CPI当月同比</v>
          </cell>
          <cell r="AN4" t="str">
            <v>食品烟酒</v>
          </cell>
          <cell r="AO4" t="str">
            <v>衣着</v>
          </cell>
          <cell r="AP4" t="str">
            <v>居住</v>
          </cell>
          <cell r="AQ4" t="str">
            <v>生活用品及服务</v>
          </cell>
          <cell r="AR4" t="str">
            <v>交通和通信</v>
          </cell>
          <cell r="AS4" t="str">
            <v>教育文化和娱乐</v>
          </cell>
          <cell r="AT4" t="str">
            <v>医疗保健</v>
          </cell>
          <cell r="AU4" t="str">
            <v>其他用品和服务</v>
          </cell>
          <cell r="AV4" t="str">
            <v>CPI当月环比</v>
          </cell>
        </row>
        <row r="5">
          <cell r="Q5">
            <v>44227</v>
          </cell>
          <cell r="R5">
            <v>0</v>
          </cell>
          <cell r="S5">
            <v>-1.3000000000000001E-2</v>
          </cell>
          <cell r="T5">
            <v>-9.3600000000000003E-2</v>
          </cell>
          <cell r="U5">
            <v>0</v>
          </cell>
          <cell r="V5">
            <v>-0.621</v>
          </cell>
          <cell r="W5">
            <v>0</v>
          </cell>
          <cell r="X5">
            <v>3.4000000000000002E-2</v>
          </cell>
          <cell r="Y5">
            <v>-2.1600000000000001E-2</v>
          </cell>
          <cell r="Z5">
            <v>-0.3</v>
          </cell>
          <cell r="AM5">
            <v>44227</v>
          </cell>
          <cell r="AN5">
            <v>0</v>
          </cell>
          <cell r="AO5">
            <v>-2.6000000000000002E-2</v>
          </cell>
          <cell r="AP5">
            <v>2.3400000000000001E-2</v>
          </cell>
          <cell r="AQ5">
            <v>1.2400000000000001E-2</v>
          </cell>
          <cell r="AR5">
            <v>0.12150000000000001</v>
          </cell>
          <cell r="AS5">
            <v>4.48E-2</v>
          </cell>
          <cell r="AT5">
            <v>8.5000000000000006E-3</v>
          </cell>
          <cell r="AU5">
            <v>1.2E-2</v>
          </cell>
          <cell r="AV5">
            <v>1</v>
          </cell>
        </row>
        <row r="6">
          <cell r="Q6">
            <v>44255</v>
          </cell>
          <cell r="R6">
            <v>0</v>
          </cell>
          <cell r="S6">
            <v>-3.2500000000000001E-2</v>
          </cell>
          <cell r="T6">
            <v>-7.0199999999999999E-2</v>
          </cell>
          <cell r="U6">
            <v>-1.2400000000000001E-2</v>
          </cell>
          <cell r="V6">
            <v>-0.25650000000000001</v>
          </cell>
          <cell r="W6">
            <v>6.7199999999999996E-2</v>
          </cell>
          <cell r="X6">
            <v>2.5500000000000002E-2</v>
          </cell>
          <cell r="Y6">
            <v>-1.9200000000000002E-2</v>
          </cell>
          <cell r="Z6">
            <v>-0.2</v>
          </cell>
          <cell r="AM6">
            <v>44255</v>
          </cell>
          <cell r="AN6">
            <v>0</v>
          </cell>
          <cell r="AO6">
            <v>-3.2500000000000001E-2</v>
          </cell>
          <cell r="AP6">
            <v>2.3400000000000001E-2</v>
          </cell>
          <cell r="AQ6">
            <v>6.2000000000000006E-3</v>
          </cell>
          <cell r="AR6">
            <v>0.14850000000000002</v>
          </cell>
          <cell r="AS6">
            <v>8.9599999999999999E-2</v>
          </cell>
          <cell r="AT6">
            <v>0</v>
          </cell>
          <cell r="AU6">
            <v>-7.1999999999999998E-3</v>
          </cell>
          <cell r="AV6">
            <v>0.6</v>
          </cell>
        </row>
        <row r="7">
          <cell r="Q7">
            <v>44286</v>
          </cell>
          <cell r="R7">
            <v>0</v>
          </cell>
          <cell r="S7">
            <v>6.5000000000000006E-3</v>
          </cell>
          <cell r="T7">
            <v>4.6800000000000001E-2</v>
          </cell>
          <cell r="U7">
            <v>0</v>
          </cell>
          <cell r="V7">
            <v>0.36450000000000005</v>
          </cell>
          <cell r="W7">
            <v>4.48E-2</v>
          </cell>
          <cell r="X7">
            <v>1.7000000000000001E-2</v>
          </cell>
          <cell r="Y7">
            <v>-3.6000000000000004E-2</v>
          </cell>
          <cell r="Z7">
            <v>0.4</v>
          </cell>
          <cell r="AM7">
            <v>44286</v>
          </cell>
          <cell r="AN7">
            <v>0</v>
          </cell>
          <cell r="AO7">
            <v>2.6000000000000002E-2</v>
          </cell>
          <cell r="AP7">
            <v>4.6800000000000001E-2</v>
          </cell>
          <cell r="AQ7">
            <v>-6.2000000000000006E-3</v>
          </cell>
          <cell r="AR7">
            <v>0.17550000000000002</v>
          </cell>
          <cell r="AS7">
            <v>-4.48E-2</v>
          </cell>
          <cell r="AT7">
            <v>0</v>
          </cell>
          <cell r="AU7">
            <v>-1.9200000000000002E-2</v>
          </cell>
          <cell r="AV7">
            <v>-0.5</v>
          </cell>
        </row>
        <row r="8">
          <cell r="Q8">
            <v>44316</v>
          </cell>
          <cell r="R8">
            <v>0</v>
          </cell>
          <cell r="S8">
            <v>1.3000000000000001E-2</v>
          </cell>
          <cell r="T8">
            <v>9.3600000000000003E-2</v>
          </cell>
          <cell r="U8">
            <v>2.4800000000000003E-2</v>
          </cell>
          <cell r="V8">
            <v>0.66150000000000009</v>
          </cell>
          <cell r="W8">
            <v>0.14559999999999998</v>
          </cell>
          <cell r="X8">
            <v>8.5000000000000006E-3</v>
          </cell>
          <cell r="Y8">
            <v>-3.1200000000000002E-2</v>
          </cell>
          <cell r="Z8">
            <v>0.9</v>
          </cell>
          <cell r="AM8">
            <v>44316</v>
          </cell>
          <cell r="AN8">
            <v>0</v>
          </cell>
          <cell r="AO8">
            <v>0</v>
          </cell>
          <cell r="AP8">
            <v>2.3400000000000001E-2</v>
          </cell>
          <cell r="AQ8">
            <v>1.8599999999999998E-2</v>
          </cell>
          <cell r="AR8">
            <v>5.4000000000000006E-2</v>
          </cell>
          <cell r="AS8">
            <v>7.8399999999999984E-2</v>
          </cell>
          <cell r="AT8">
            <v>8.5000000000000006E-3</v>
          </cell>
          <cell r="AU8">
            <v>9.6000000000000009E-3</v>
          </cell>
          <cell r="AV8">
            <v>-0.3</v>
          </cell>
        </row>
        <row r="9">
          <cell r="Q9">
            <v>44347</v>
          </cell>
          <cell r="R9">
            <v>0</v>
          </cell>
          <cell r="S9">
            <v>2.6000000000000002E-2</v>
          </cell>
          <cell r="T9">
            <v>0.16379999999999997</v>
          </cell>
          <cell r="U9">
            <v>2.4800000000000003E-2</v>
          </cell>
          <cell r="V9">
            <v>0.74250000000000005</v>
          </cell>
          <cell r="W9">
            <v>0.16799999999999998</v>
          </cell>
          <cell r="X9">
            <v>1.7000000000000001E-2</v>
          </cell>
          <cell r="Y9">
            <v>-2.1600000000000001E-2</v>
          </cell>
          <cell r="Z9">
            <v>1.3</v>
          </cell>
          <cell r="AM9">
            <v>44347</v>
          </cell>
          <cell r="AN9">
            <v>0</v>
          </cell>
          <cell r="AO9">
            <v>1.95E-2</v>
          </cell>
          <cell r="AP9">
            <v>2.3400000000000001E-2</v>
          </cell>
          <cell r="AQ9">
            <v>-6.2000000000000006E-3</v>
          </cell>
          <cell r="AR9">
            <v>5.4000000000000006E-2</v>
          </cell>
          <cell r="AS9">
            <v>3.3599999999999998E-2</v>
          </cell>
          <cell r="AT9">
            <v>0</v>
          </cell>
          <cell r="AU9">
            <v>1.44E-2</v>
          </cell>
          <cell r="AV9">
            <v>-0.2</v>
          </cell>
        </row>
        <row r="10">
          <cell r="Q10">
            <v>44377</v>
          </cell>
          <cell r="R10">
            <v>0</v>
          </cell>
          <cell r="S10">
            <v>2.6000000000000002E-2</v>
          </cell>
          <cell r="T10">
            <v>0.21059999999999998</v>
          </cell>
          <cell r="U10">
            <v>1.8599999999999998E-2</v>
          </cell>
          <cell r="V10">
            <v>0.78300000000000003</v>
          </cell>
          <cell r="W10">
            <v>0.16799999999999998</v>
          </cell>
          <cell r="X10">
            <v>2.5500000000000002E-2</v>
          </cell>
          <cell r="Y10">
            <v>-2.1600000000000001E-2</v>
          </cell>
          <cell r="Z10">
            <v>1.1000000000000001</v>
          </cell>
          <cell r="AM10">
            <v>44377</v>
          </cell>
          <cell r="AN10">
            <v>0</v>
          </cell>
          <cell r="AO10">
            <v>-1.3000000000000001E-2</v>
          </cell>
          <cell r="AP10">
            <v>2.3400000000000001E-2</v>
          </cell>
          <cell r="AQ10">
            <v>-1.2400000000000001E-2</v>
          </cell>
          <cell r="AR10">
            <v>1.3500000000000002E-2</v>
          </cell>
          <cell r="AS10">
            <v>-2.24E-2</v>
          </cell>
          <cell r="AT10">
            <v>0</v>
          </cell>
          <cell r="AU10">
            <v>2.4000000000000002E-3</v>
          </cell>
          <cell r="AV10">
            <v>-0.4</v>
          </cell>
        </row>
        <row r="11">
          <cell r="Q11">
            <v>44408</v>
          </cell>
          <cell r="R11">
            <v>0</v>
          </cell>
          <cell r="S11">
            <v>2.6000000000000002E-2</v>
          </cell>
          <cell r="T11">
            <v>0.25740000000000002</v>
          </cell>
          <cell r="U11">
            <v>1.8599999999999998E-2</v>
          </cell>
          <cell r="V11">
            <v>0.93150000000000011</v>
          </cell>
          <cell r="W11">
            <v>0.3024</v>
          </cell>
          <cell r="X11">
            <v>3.4000000000000002E-2</v>
          </cell>
          <cell r="Y11">
            <v>-3.1200000000000002E-2</v>
          </cell>
          <cell r="Z11">
            <v>1</v>
          </cell>
          <cell r="AM11">
            <v>44408</v>
          </cell>
          <cell r="AN11">
            <v>0</v>
          </cell>
          <cell r="AO11">
            <v>-2.6000000000000002E-2</v>
          </cell>
          <cell r="AP11">
            <v>4.6800000000000001E-2</v>
          </cell>
          <cell r="AQ11">
            <v>2.4800000000000003E-2</v>
          </cell>
          <cell r="AR11">
            <v>0.20250000000000001</v>
          </cell>
          <cell r="AS11">
            <v>0.11199999999999999</v>
          </cell>
          <cell r="AT11">
            <v>8.5000000000000006E-3</v>
          </cell>
          <cell r="AU11">
            <v>4.8000000000000004E-3</v>
          </cell>
          <cell r="AV11">
            <v>0.3</v>
          </cell>
        </row>
        <row r="12">
          <cell r="Q12">
            <v>44439</v>
          </cell>
          <cell r="R12">
            <v>0</v>
          </cell>
          <cell r="S12">
            <v>3.2500000000000001E-2</v>
          </cell>
          <cell r="T12">
            <v>0.25740000000000002</v>
          </cell>
          <cell r="U12">
            <v>3.7199999999999997E-2</v>
          </cell>
          <cell r="V12">
            <v>0.7965000000000001</v>
          </cell>
          <cell r="W12">
            <v>0.33599999999999997</v>
          </cell>
          <cell r="X12">
            <v>3.4000000000000002E-2</v>
          </cell>
          <cell r="Y12">
            <v>-9.3600000000000003E-2</v>
          </cell>
          <cell r="Z12">
            <v>0.8</v>
          </cell>
          <cell r="AM12">
            <v>44439</v>
          </cell>
          <cell r="AN12">
            <v>0</v>
          </cell>
          <cell r="AO12">
            <v>-6.5000000000000006E-3</v>
          </cell>
          <cell r="AP12">
            <v>2.3400000000000001E-2</v>
          </cell>
          <cell r="AQ12">
            <v>6.2000000000000006E-3</v>
          </cell>
          <cell r="AR12">
            <v>-8.1000000000000003E-2</v>
          </cell>
          <cell r="AS12">
            <v>0</v>
          </cell>
          <cell r="AT12">
            <v>0</v>
          </cell>
          <cell r="AU12">
            <v>-2.1600000000000001E-2</v>
          </cell>
          <cell r="AV12">
            <v>0.1</v>
          </cell>
        </row>
        <row r="13">
          <cell r="Q13">
            <v>44469</v>
          </cell>
          <cell r="R13">
            <v>0</v>
          </cell>
          <cell r="S13">
            <v>3.2500000000000001E-2</v>
          </cell>
          <cell r="T13">
            <v>0.30419999999999997</v>
          </cell>
          <cell r="U13">
            <v>3.1E-2</v>
          </cell>
          <cell r="V13">
            <v>0.78300000000000003</v>
          </cell>
          <cell r="W13">
            <v>0.3584</v>
          </cell>
          <cell r="X13">
            <v>3.4000000000000002E-2</v>
          </cell>
          <cell r="Y13">
            <v>-6.7199999999999996E-2</v>
          </cell>
          <cell r="Z13">
            <v>0.7</v>
          </cell>
          <cell r="AM13">
            <v>44469</v>
          </cell>
          <cell r="AN13">
            <v>0</v>
          </cell>
          <cell r="AO13">
            <v>5.2000000000000005E-2</v>
          </cell>
          <cell r="AP13">
            <v>4.6800000000000001E-2</v>
          </cell>
          <cell r="AQ13">
            <v>-6.2000000000000006E-3</v>
          </cell>
          <cell r="AR13">
            <v>-2.7000000000000003E-2</v>
          </cell>
          <cell r="AS13">
            <v>7.8399999999999984E-2</v>
          </cell>
          <cell r="AT13">
            <v>0</v>
          </cell>
          <cell r="AU13">
            <v>7.1999999999999998E-3</v>
          </cell>
          <cell r="AV13">
            <v>0</v>
          </cell>
        </row>
        <row r="14">
          <cell r="Q14">
            <v>44500</v>
          </cell>
          <cell r="R14">
            <v>0</v>
          </cell>
          <cell r="S14">
            <v>3.2500000000000001E-2</v>
          </cell>
          <cell r="T14">
            <v>0.39779999999999999</v>
          </cell>
          <cell r="U14">
            <v>5.5800000000000002E-2</v>
          </cell>
          <cell r="V14">
            <v>0.94500000000000006</v>
          </cell>
          <cell r="W14">
            <v>0.32479999999999998</v>
          </cell>
          <cell r="X14">
            <v>5.1000000000000004E-2</v>
          </cell>
          <cell r="Y14">
            <v>-1.2E-2</v>
          </cell>
          <cell r="Z14">
            <v>1.5</v>
          </cell>
          <cell r="AM14">
            <v>44500</v>
          </cell>
          <cell r="AN14">
            <v>0</v>
          </cell>
          <cell r="AO14">
            <v>1.95E-2</v>
          </cell>
          <cell r="AP14">
            <v>9.3600000000000003E-2</v>
          </cell>
          <cell r="AQ14">
            <v>1.8599999999999998E-2</v>
          </cell>
          <cell r="AR14">
            <v>0.13500000000000001</v>
          </cell>
          <cell r="AS14">
            <v>2.24E-2</v>
          </cell>
          <cell r="AT14">
            <v>1.7000000000000001E-2</v>
          </cell>
          <cell r="AU14">
            <v>2.4000000000000002E-3</v>
          </cell>
          <cell r="AV14">
            <v>0.7</v>
          </cell>
        </row>
        <row r="15">
          <cell r="Q15">
            <v>44530</v>
          </cell>
          <cell r="R15">
            <v>0</v>
          </cell>
          <cell r="S15">
            <v>3.2500000000000001E-2</v>
          </cell>
          <cell r="T15">
            <v>0.39779999999999999</v>
          </cell>
          <cell r="U15">
            <v>3.1E-2</v>
          </cell>
          <cell r="V15">
            <v>1.026</v>
          </cell>
          <cell r="W15">
            <v>0.33599999999999997</v>
          </cell>
          <cell r="X15">
            <v>5.1000000000000004E-2</v>
          </cell>
          <cell r="Y15">
            <v>-1.44E-2</v>
          </cell>
          <cell r="Z15">
            <v>2.2999999999999998</v>
          </cell>
          <cell r="AM15">
            <v>44530</v>
          </cell>
          <cell r="AN15">
            <v>0</v>
          </cell>
          <cell r="AO15">
            <v>1.95E-2</v>
          </cell>
          <cell r="AP15">
            <v>0</v>
          </cell>
          <cell r="AQ15">
            <v>-2.4800000000000003E-2</v>
          </cell>
          <cell r="AR15">
            <v>4.0500000000000001E-2</v>
          </cell>
          <cell r="AS15">
            <v>-5.5999999999999994E-2</v>
          </cell>
          <cell r="AT15">
            <v>0</v>
          </cell>
          <cell r="AU15">
            <v>-1.2E-2</v>
          </cell>
          <cell r="AV15">
            <v>0.4</v>
          </cell>
        </row>
        <row r="16">
          <cell r="Q16">
            <v>44561</v>
          </cell>
          <cell r="R16">
            <v>0</v>
          </cell>
          <cell r="S16">
            <v>3.9E-2</v>
          </cell>
          <cell r="T16">
            <v>0.37440000000000001</v>
          </cell>
          <cell r="U16">
            <v>4.9600000000000005E-2</v>
          </cell>
          <cell r="V16">
            <v>0.67500000000000004</v>
          </cell>
          <cell r="W16">
            <v>0.34719999999999995</v>
          </cell>
          <cell r="X16">
            <v>5.9499999999999997E-2</v>
          </cell>
          <cell r="Y16">
            <v>-1.2E-2</v>
          </cell>
          <cell r="Z16">
            <v>1.5</v>
          </cell>
          <cell r="AM16">
            <v>44561</v>
          </cell>
          <cell r="AN16">
            <v>0</v>
          </cell>
          <cell r="AO16">
            <v>6.5000000000000006E-3</v>
          </cell>
          <cell r="AP16">
            <v>-2.3400000000000001E-2</v>
          </cell>
          <cell r="AQ16">
            <v>1.8599999999999998E-2</v>
          </cell>
          <cell r="AR16">
            <v>-0.17550000000000002</v>
          </cell>
          <cell r="AS16">
            <v>0</v>
          </cell>
          <cell r="AT16">
            <v>0</v>
          </cell>
          <cell r="AU16">
            <v>-2.4000000000000002E-3</v>
          </cell>
          <cell r="AV16">
            <v>-0.3</v>
          </cell>
        </row>
        <row r="17">
          <cell r="Q17">
            <v>44592</v>
          </cell>
          <cell r="R17">
            <v>0</v>
          </cell>
          <cell r="S17">
            <v>2.6000000000000002E-2</v>
          </cell>
          <cell r="T17">
            <v>0.32759999999999995</v>
          </cell>
          <cell r="U17">
            <v>2.4800000000000003E-2</v>
          </cell>
          <cell r="V17">
            <v>0.70200000000000007</v>
          </cell>
          <cell r="W17">
            <v>0.32479999999999998</v>
          </cell>
          <cell r="X17">
            <v>5.1000000000000004E-2</v>
          </cell>
          <cell r="Y17">
            <v>-2.4000000000000002E-3</v>
          </cell>
          <cell r="Z17">
            <v>0.9</v>
          </cell>
          <cell r="AM17">
            <v>44592</v>
          </cell>
          <cell r="AN17">
            <v>0</v>
          </cell>
          <cell r="AO17">
            <v>-3.2500000000000001E-2</v>
          </cell>
          <cell r="AP17">
            <v>0</v>
          </cell>
          <cell r="AQ17">
            <v>-6.2000000000000006E-3</v>
          </cell>
          <cell r="AR17">
            <v>0.14850000000000002</v>
          </cell>
          <cell r="AS17">
            <v>2.24E-2</v>
          </cell>
          <cell r="AT17">
            <v>8.5000000000000006E-3</v>
          </cell>
          <cell r="AU17">
            <v>2.1600000000000001E-2</v>
          </cell>
          <cell r="AV17">
            <v>0.4</v>
          </cell>
        </row>
        <row r="18">
          <cell r="Q18">
            <v>44620</v>
          </cell>
          <cell r="R18">
            <v>0</v>
          </cell>
          <cell r="S18">
            <v>3.9E-2</v>
          </cell>
          <cell r="T18">
            <v>0.32759999999999995</v>
          </cell>
          <cell r="U18">
            <v>3.7199999999999997E-2</v>
          </cell>
          <cell r="V18">
            <v>0.74250000000000005</v>
          </cell>
          <cell r="W18">
            <v>0.27999999999999997</v>
          </cell>
          <cell r="X18">
            <v>5.1000000000000004E-2</v>
          </cell>
          <cell r="Y18">
            <v>7.1999999999999998E-3</v>
          </cell>
          <cell r="Z18">
            <v>0.9</v>
          </cell>
          <cell r="AM18">
            <v>44620</v>
          </cell>
          <cell r="AN18">
            <v>0</v>
          </cell>
          <cell r="AO18">
            <v>-1.95E-2</v>
          </cell>
          <cell r="AP18">
            <v>2.3400000000000001E-2</v>
          </cell>
          <cell r="AQ18">
            <v>1.2400000000000001E-2</v>
          </cell>
          <cell r="AR18">
            <v>0.189</v>
          </cell>
          <cell r="AS18">
            <v>4.48E-2</v>
          </cell>
          <cell r="AT18">
            <v>0</v>
          </cell>
          <cell r="AU18">
            <v>2.4000000000000002E-3</v>
          </cell>
          <cell r="AV18">
            <v>0.6</v>
          </cell>
        </row>
        <row r="19">
          <cell r="Q19">
            <v>44651</v>
          </cell>
          <cell r="R19">
            <v>0</v>
          </cell>
          <cell r="S19">
            <v>3.9E-2</v>
          </cell>
          <cell r="T19">
            <v>0.30419999999999997</v>
          </cell>
          <cell r="U19">
            <v>5.5800000000000002E-2</v>
          </cell>
          <cell r="V19">
            <v>0.78300000000000003</v>
          </cell>
          <cell r="W19">
            <v>0.29119999999999996</v>
          </cell>
          <cell r="X19">
            <v>5.9499999999999997E-2</v>
          </cell>
          <cell r="Y19">
            <v>5.04E-2</v>
          </cell>
          <cell r="Z19">
            <v>1.5</v>
          </cell>
          <cell r="AM19">
            <v>44651</v>
          </cell>
          <cell r="AN19">
            <v>0</v>
          </cell>
          <cell r="AO19">
            <v>2.6000000000000002E-2</v>
          </cell>
          <cell r="AP19">
            <v>2.3400000000000001E-2</v>
          </cell>
          <cell r="AQ19">
            <v>1.2400000000000001E-2</v>
          </cell>
          <cell r="AR19">
            <v>0.21600000000000003</v>
          </cell>
          <cell r="AS19">
            <v>-3.3599999999999998E-2</v>
          </cell>
          <cell r="AT19">
            <v>8.5000000000000006E-3</v>
          </cell>
          <cell r="AU19">
            <v>2.4E-2</v>
          </cell>
          <cell r="AV19">
            <v>0</v>
          </cell>
        </row>
        <row r="20">
          <cell r="Q20">
            <v>44681</v>
          </cell>
          <cell r="R20">
            <v>0</v>
          </cell>
          <cell r="S20">
            <v>3.2500000000000001E-2</v>
          </cell>
          <cell r="T20">
            <v>0.28079999999999999</v>
          </cell>
          <cell r="U20">
            <v>7.4399999999999994E-2</v>
          </cell>
          <cell r="V20">
            <v>0.87750000000000006</v>
          </cell>
          <cell r="W20">
            <v>0.22399999999999998</v>
          </cell>
          <cell r="X20">
            <v>5.9499999999999997E-2</v>
          </cell>
          <cell r="Y20">
            <v>4.0800000000000003E-2</v>
          </cell>
          <cell r="Z20">
            <v>2.1</v>
          </cell>
          <cell r="AM20">
            <v>44681</v>
          </cell>
          <cell r="AN20">
            <v>0</v>
          </cell>
          <cell r="AO20">
            <v>-1.3000000000000001E-2</v>
          </cell>
          <cell r="AP20">
            <v>-2.3400000000000001E-2</v>
          </cell>
          <cell r="AQ20">
            <v>3.7199999999999997E-2</v>
          </cell>
          <cell r="AR20">
            <v>0.14850000000000002</v>
          </cell>
          <cell r="AS20">
            <v>1.12E-2</v>
          </cell>
          <cell r="AT20">
            <v>8.5000000000000006E-3</v>
          </cell>
          <cell r="AU20">
            <v>0</v>
          </cell>
          <cell r="AV20">
            <v>0.4</v>
          </cell>
        </row>
        <row r="21">
          <cell r="Q21">
            <v>44712</v>
          </cell>
          <cell r="R21">
            <v>0</v>
          </cell>
          <cell r="S21">
            <v>3.2500000000000001E-2</v>
          </cell>
          <cell r="T21">
            <v>0.23399999999999999</v>
          </cell>
          <cell r="U21">
            <v>8.6799999999999988E-2</v>
          </cell>
          <cell r="V21">
            <v>0.83700000000000008</v>
          </cell>
          <cell r="W21">
            <v>0.20159999999999997</v>
          </cell>
          <cell r="X21">
            <v>5.9499999999999997E-2</v>
          </cell>
          <cell r="Y21">
            <v>4.3200000000000002E-2</v>
          </cell>
          <cell r="Z21">
            <v>2.1</v>
          </cell>
          <cell r="AM21">
            <v>44712</v>
          </cell>
          <cell r="AN21">
            <v>0</v>
          </cell>
          <cell r="AO21">
            <v>2.6000000000000002E-2</v>
          </cell>
          <cell r="AP21">
            <v>-2.3400000000000001E-2</v>
          </cell>
          <cell r="AQ21">
            <v>1.2400000000000001E-2</v>
          </cell>
          <cell r="AR21">
            <v>1.3500000000000002E-2</v>
          </cell>
          <cell r="AS21">
            <v>1.12E-2</v>
          </cell>
          <cell r="AT21">
            <v>8.5000000000000006E-3</v>
          </cell>
          <cell r="AU21">
            <v>1.44E-2</v>
          </cell>
          <cell r="AV21">
            <v>-0.2</v>
          </cell>
        </row>
        <row r="22">
          <cell r="Q22">
            <v>44742</v>
          </cell>
          <cell r="R22">
            <v>0</v>
          </cell>
          <cell r="S22">
            <v>3.9E-2</v>
          </cell>
          <cell r="T22">
            <v>0.18720000000000001</v>
          </cell>
          <cell r="U22">
            <v>9.2999999999999999E-2</v>
          </cell>
          <cell r="V22">
            <v>1.1475</v>
          </cell>
          <cell r="W22">
            <v>0.23519999999999999</v>
          </cell>
          <cell r="X22">
            <v>5.9499999999999997E-2</v>
          </cell>
          <cell r="Y22">
            <v>4.0800000000000003E-2</v>
          </cell>
          <cell r="Z22">
            <v>2.5</v>
          </cell>
          <cell r="AM22">
            <v>44742</v>
          </cell>
          <cell r="AN22">
            <v>0</v>
          </cell>
          <cell r="AO22">
            <v>-6.5000000000000006E-3</v>
          </cell>
          <cell r="AP22">
            <v>0</v>
          </cell>
          <cell r="AQ22">
            <v>-1.2400000000000001E-2</v>
          </cell>
          <cell r="AR22">
            <v>0.29700000000000004</v>
          </cell>
          <cell r="AS22">
            <v>1.12E-2</v>
          </cell>
          <cell r="AT22">
            <v>0</v>
          </cell>
          <cell r="AU22">
            <v>2.4000000000000002E-3</v>
          </cell>
          <cell r="AV22">
            <v>0</v>
          </cell>
        </row>
        <row r="23">
          <cell r="Q23">
            <v>44773</v>
          </cell>
          <cell r="R23">
            <v>0</v>
          </cell>
          <cell r="S23">
            <v>4.5499999999999999E-2</v>
          </cell>
          <cell r="T23">
            <v>0.16379999999999997</v>
          </cell>
          <cell r="U23">
            <v>8.6799999999999988E-2</v>
          </cell>
          <cell r="V23">
            <v>0.82350000000000001</v>
          </cell>
          <cell r="W23">
            <v>0.16799999999999998</v>
          </cell>
          <cell r="X23">
            <v>5.9499999999999997E-2</v>
          </cell>
          <cell r="Y23">
            <v>2.1600000000000001E-2</v>
          </cell>
          <cell r="Z23">
            <v>2.7</v>
          </cell>
          <cell r="AM23">
            <v>44773</v>
          </cell>
          <cell r="AN23">
            <v>0</v>
          </cell>
          <cell r="AO23">
            <v>-2.6000000000000002E-2</v>
          </cell>
          <cell r="AP23">
            <v>0</v>
          </cell>
          <cell r="AQ23">
            <v>1.8599999999999998E-2</v>
          </cell>
          <cell r="AR23">
            <v>-9.4500000000000001E-2</v>
          </cell>
          <cell r="AS23">
            <v>5.5999999999999994E-2</v>
          </cell>
          <cell r="AT23">
            <v>0</v>
          </cell>
          <cell r="AU23">
            <v>-1.6799999999999999E-2</v>
          </cell>
          <cell r="AV23">
            <v>0.5</v>
          </cell>
        </row>
        <row r="24">
          <cell r="Q24">
            <v>44804</v>
          </cell>
          <cell r="R24">
            <v>0</v>
          </cell>
          <cell r="S24">
            <v>3.9E-2</v>
          </cell>
          <cell r="T24">
            <v>0.1404</v>
          </cell>
          <cell r="U24">
            <v>8.0600000000000005E-2</v>
          </cell>
          <cell r="V24">
            <v>0.66150000000000009</v>
          </cell>
          <cell r="W24">
            <v>0.1792</v>
          </cell>
          <cell r="X24">
            <v>5.9499999999999997E-2</v>
          </cell>
          <cell r="Y24">
            <v>5.2800000000000007E-2</v>
          </cell>
          <cell r="Z24">
            <v>2.5</v>
          </cell>
          <cell r="AM24">
            <v>44804</v>
          </cell>
          <cell r="AN24">
            <v>0</v>
          </cell>
          <cell r="AO24">
            <v>-1.3000000000000001E-2</v>
          </cell>
          <cell r="AP24">
            <v>0</v>
          </cell>
          <cell r="AQ24">
            <v>0</v>
          </cell>
          <cell r="AR24">
            <v>-0.22950000000000001</v>
          </cell>
          <cell r="AS24">
            <v>1.12E-2</v>
          </cell>
          <cell r="AT24">
            <v>8.5000000000000006E-3</v>
          </cell>
          <cell r="AU24">
            <v>7.1999999999999998E-3</v>
          </cell>
          <cell r="AV24">
            <v>-0.1</v>
          </cell>
        </row>
        <row r="25">
          <cell r="Q25">
            <v>44834</v>
          </cell>
          <cell r="R25">
            <v>0</v>
          </cell>
          <cell r="S25">
            <v>3.2500000000000001E-2</v>
          </cell>
          <cell r="T25">
            <v>7.0199999999999999E-2</v>
          </cell>
          <cell r="U25">
            <v>8.6799999999999988E-2</v>
          </cell>
          <cell r="V25">
            <v>0.60750000000000004</v>
          </cell>
          <cell r="W25">
            <v>0.13439999999999999</v>
          </cell>
          <cell r="X25">
            <v>5.9499999999999997E-2</v>
          </cell>
          <cell r="Y25">
            <v>3.8400000000000004E-2</v>
          </cell>
          <cell r="Z25">
            <v>2.8</v>
          </cell>
          <cell r="AM25">
            <v>44834</v>
          </cell>
          <cell r="AN25">
            <v>0</v>
          </cell>
          <cell r="AO25">
            <v>5.2000000000000005E-2</v>
          </cell>
          <cell r="AP25">
            <v>-2.3400000000000001E-2</v>
          </cell>
          <cell r="AQ25">
            <v>0</v>
          </cell>
          <cell r="AR25">
            <v>-8.1000000000000003E-2</v>
          </cell>
          <cell r="AS25">
            <v>4.48E-2</v>
          </cell>
          <cell r="AT25">
            <v>0</v>
          </cell>
          <cell r="AU25">
            <v>-7.1999999999999998E-3</v>
          </cell>
          <cell r="AV25">
            <v>0.3</v>
          </cell>
        </row>
        <row r="26">
          <cell r="Q26">
            <v>44865</v>
          </cell>
          <cell r="R26">
            <v>0</v>
          </cell>
          <cell r="S26">
            <v>3.2500000000000001E-2</v>
          </cell>
          <cell r="T26">
            <v>-4.6800000000000001E-2</v>
          </cell>
          <cell r="U26">
            <v>8.6799999999999988E-2</v>
          </cell>
          <cell r="V26">
            <v>0.41850000000000004</v>
          </cell>
          <cell r="W26">
            <v>0.13439999999999999</v>
          </cell>
          <cell r="X26">
            <v>4.2500000000000003E-2</v>
          </cell>
          <cell r="Y26">
            <v>4.5600000000000002E-2</v>
          </cell>
          <cell r="Z26">
            <v>2.1</v>
          </cell>
          <cell r="AM26">
            <v>44865</v>
          </cell>
          <cell r="AN26">
            <v>0</v>
          </cell>
          <cell r="AO26">
            <v>1.95E-2</v>
          </cell>
          <cell r="AP26">
            <v>-2.3400000000000001E-2</v>
          </cell>
          <cell r="AQ26">
            <v>1.8599999999999998E-2</v>
          </cell>
          <cell r="AR26">
            <v>-5.4000000000000006E-2</v>
          </cell>
          <cell r="AS26">
            <v>2.24E-2</v>
          </cell>
          <cell r="AT26">
            <v>0</v>
          </cell>
          <cell r="AU26">
            <v>9.6000000000000009E-3</v>
          </cell>
          <cell r="AV26">
            <v>0.1</v>
          </cell>
        </row>
        <row r="27">
          <cell r="Q27">
            <v>44895</v>
          </cell>
          <cell r="R27">
            <v>0</v>
          </cell>
          <cell r="S27">
            <v>3.2500000000000001E-2</v>
          </cell>
          <cell r="T27">
            <v>-4.6800000000000001E-2</v>
          </cell>
          <cell r="U27">
            <v>9.2999999999999999E-2</v>
          </cell>
          <cell r="V27">
            <v>0.39150000000000001</v>
          </cell>
          <cell r="W27">
            <v>0.14559999999999998</v>
          </cell>
          <cell r="X27">
            <v>4.2500000000000003E-2</v>
          </cell>
          <cell r="Y27">
            <v>5.5199999999999999E-2</v>
          </cell>
          <cell r="Z27">
            <v>1.6</v>
          </cell>
          <cell r="AM27">
            <v>44895</v>
          </cell>
          <cell r="AN27">
            <v>0</v>
          </cell>
          <cell r="AO27">
            <v>1.95E-2</v>
          </cell>
          <cell r="AP27">
            <v>0</v>
          </cell>
          <cell r="AQ27">
            <v>-1.8599999999999998E-2</v>
          </cell>
          <cell r="AR27">
            <v>1.3500000000000002E-2</v>
          </cell>
          <cell r="AS27">
            <v>-4.48E-2</v>
          </cell>
          <cell r="AT27">
            <v>0</v>
          </cell>
          <cell r="AU27">
            <v>-2.4000000000000002E-3</v>
          </cell>
          <cell r="AV27">
            <v>-0.2</v>
          </cell>
        </row>
        <row r="28">
          <cell r="Q28">
            <v>44926</v>
          </cell>
          <cell r="R28">
            <v>0</v>
          </cell>
          <cell r="S28">
            <v>3.2500000000000001E-2</v>
          </cell>
          <cell r="T28">
            <v>-4.6800000000000001E-2</v>
          </cell>
          <cell r="U28">
            <v>9.2999999999999999E-2</v>
          </cell>
          <cell r="V28">
            <v>0.378</v>
          </cell>
          <cell r="W28">
            <v>0.15679999999999997</v>
          </cell>
          <cell r="X28">
            <v>5.1000000000000004E-2</v>
          </cell>
          <cell r="Y28">
            <v>6.7199999999999996E-2</v>
          </cell>
          <cell r="Z28">
            <v>1.8</v>
          </cell>
          <cell r="AM28">
            <v>44926</v>
          </cell>
          <cell r="AN28">
            <v>0</v>
          </cell>
          <cell r="AO28">
            <v>6.5000000000000006E-3</v>
          </cell>
          <cell r="AP28">
            <v>-2.3400000000000001E-2</v>
          </cell>
          <cell r="AQ28">
            <v>1.8599999999999998E-2</v>
          </cell>
          <cell r="AR28">
            <v>-0.189</v>
          </cell>
          <cell r="AS28">
            <v>1.12E-2</v>
          </cell>
          <cell r="AT28">
            <v>0</v>
          </cell>
          <cell r="AU28">
            <v>9.6000000000000009E-3</v>
          </cell>
          <cell r="AV28">
            <v>0</v>
          </cell>
        </row>
        <row r="29">
          <cell r="Q29">
            <v>44957</v>
          </cell>
          <cell r="R29">
            <v>0</v>
          </cell>
          <cell r="S29">
            <v>3.2500000000000001E-2</v>
          </cell>
          <cell r="T29">
            <v>-2.3400000000000001E-2</v>
          </cell>
          <cell r="U29">
            <v>9.920000000000001E-2</v>
          </cell>
          <cell r="V29">
            <v>0.27</v>
          </cell>
          <cell r="W29">
            <v>0.26879999999999998</v>
          </cell>
          <cell r="X29">
            <v>6.8000000000000005E-2</v>
          </cell>
          <cell r="Y29">
            <v>7.4400000000000008E-2</v>
          </cell>
          <cell r="Z29">
            <v>2.1</v>
          </cell>
          <cell r="AM29">
            <v>44957</v>
          </cell>
          <cell r="AN29">
            <v>0</v>
          </cell>
          <cell r="AO29">
            <v>-3.2500000000000001E-2</v>
          </cell>
          <cell r="AP29">
            <v>0</v>
          </cell>
          <cell r="AQ29">
            <v>0</v>
          </cell>
          <cell r="AR29">
            <v>2.7000000000000003E-2</v>
          </cell>
          <cell r="AS29">
            <v>0.14559999999999998</v>
          </cell>
          <cell r="AT29">
            <v>2.5500000000000002E-2</v>
          </cell>
          <cell r="AU29">
            <v>2.6400000000000003E-2</v>
          </cell>
          <cell r="AV29">
            <v>0.8</v>
          </cell>
        </row>
        <row r="30">
          <cell r="Q30">
            <v>44985</v>
          </cell>
          <cell r="R30">
            <v>0</v>
          </cell>
          <cell r="S30">
            <v>4.5499999999999999E-2</v>
          </cell>
          <cell r="T30">
            <v>-2.3400000000000001E-2</v>
          </cell>
          <cell r="U30">
            <v>8.6799999999999988E-2</v>
          </cell>
          <cell r="V30">
            <v>1.3500000000000002E-2</v>
          </cell>
          <cell r="W30">
            <v>0.13439999999999999</v>
          </cell>
          <cell r="X30">
            <v>8.5000000000000006E-2</v>
          </cell>
          <cell r="Y30">
            <v>6.2400000000000004E-2</v>
          </cell>
          <cell r="Z30">
            <v>1</v>
          </cell>
          <cell r="AM30">
            <v>44985</v>
          </cell>
          <cell r="AN30">
            <v>0</v>
          </cell>
          <cell r="AO30">
            <v>-6.5000000000000006E-3</v>
          </cell>
          <cell r="AP30">
            <v>2.3400000000000001E-2</v>
          </cell>
          <cell r="AQ30">
            <v>0</v>
          </cell>
          <cell r="AR30">
            <v>-6.7500000000000004E-2</v>
          </cell>
          <cell r="AS30">
            <v>-8.9599999999999999E-2</v>
          </cell>
          <cell r="AT30">
            <v>1.7000000000000001E-2</v>
          </cell>
          <cell r="AU30">
            <v>-7.1999999999999998E-3</v>
          </cell>
          <cell r="AV30">
            <v>-0.5</v>
          </cell>
        </row>
        <row r="31">
          <cell r="Q31">
            <v>45016</v>
          </cell>
          <cell r="R31">
            <v>0</v>
          </cell>
          <cell r="S31">
            <v>5.2000000000000005E-2</v>
          </cell>
          <cell r="T31">
            <v>-7.0199999999999999E-2</v>
          </cell>
          <cell r="U31">
            <v>4.3399999999999994E-2</v>
          </cell>
          <cell r="V31">
            <v>-0.25650000000000001</v>
          </cell>
          <cell r="W31">
            <v>0.15679999999999997</v>
          </cell>
          <cell r="X31">
            <v>8.5000000000000006E-2</v>
          </cell>
          <cell r="Y31">
            <v>0.06</v>
          </cell>
          <cell r="Z31">
            <v>0.7</v>
          </cell>
          <cell r="AM31">
            <v>45016</v>
          </cell>
          <cell r="AN31">
            <v>0</v>
          </cell>
          <cell r="AO31">
            <v>3.2500000000000001E-2</v>
          </cell>
          <cell r="AP31">
            <v>0</v>
          </cell>
          <cell r="AQ31">
            <v>-3.1E-2</v>
          </cell>
          <cell r="AR31">
            <v>-5.4000000000000006E-2</v>
          </cell>
          <cell r="AS31">
            <v>-1.12E-2</v>
          </cell>
          <cell r="AT31">
            <v>8.5000000000000006E-3</v>
          </cell>
          <cell r="AU31">
            <v>1.9200000000000002E-2</v>
          </cell>
          <cell r="AV31">
            <v>-0.3</v>
          </cell>
        </row>
        <row r="32">
          <cell r="Q32">
            <v>45046</v>
          </cell>
          <cell r="R32">
            <v>0</v>
          </cell>
          <cell r="S32">
            <v>5.8500000000000003E-2</v>
          </cell>
          <cell r="T32">
            <v>-4.6800000000000001E-2</v>
          </cell>
          <cell r="U32">
            <v>6.2000000000000006E-3</v>
          </cell>
          <cell r="V32">
            <v>-0.44550000000000001</v>
          </cell>
          <cell r="W32">
            <v>0.21279999999999996</v>
          </cell>
          <cell r="X32">
            <v>8.5000000000000006E-2</v>
          </cell>
          <cell r="Y32">
            <v>8.4000000000000005E-2</v>
          </cell>
          <cell r="Z32">
            <v>0.1</v>
          </cell>
          <cell r="AM32">
            <v>45046</v>
          </cell>
          <cell r="AN32">
            <v>0</v>
          </cell>
          <cell r="AO32">
            <v>-6.5000000000000006E-3</v>
          </cell>
          <cell r="AP32">
            <v>0</v>
          </cell>
          <cell r="AQ32">
            <v>0</v>
          </cell>
          <cell r="AR32">
            <v>-5.4000000000000006E-2</v>
          </cell>
          <cell r="AS32">
            <v>5.5999999999999994E-2</v>
          </cell>
          <cell r="AT32">
            <v>8.5000000000000006E-3</v>
          </cell>
          <cell r="AU32">
            <v>2.4E-2</v>
          </cell>
          <cell r="AV32">
            <v>-0.1</v>
          </cell>
        </row>
        <row r="33">
          <cell r="Q33">
            <v>45077</v>
          </cell>
          <cell r="R33">
            <v>0</v>
          </cell>
          <cell r="S33">
            <v>5.8500000000000003E-2</v>
          </cell>
          <cell r="T33">
            <v>-4.6800000000000001E-2</v>
          </cell>
          <cell r="U33">
            <v>-6.2000000000000006E-3</v>
          </cell>
          <cell r="V33">
            <v>-0.52649999999999997</v>
          </cell>
          <cell r="W33">
            <v>0.19039999999999999</v>
          </cell>
          <cell r="X33">
            <v>9.3500000000000014E-2</v>
          </cell>
          <cell r="Y33">
            <v>7.4400000000000008E-2</v>
          </cell>
          <cell r="Z33">
            <v>0.2</v>
          </cell>
          <cell r="AM33">
            <v>45077</v>
          </cell>
          <cell r="AN33">
            <v>0</v>
          </cell>
          <cell r="AO33">
            <v>2.6000000000000002E-2</v>
          </cell>
          <cell r="AP33">
            <v>-2.3400000000000001E-2</v>
          </cell>
          <cell r="AQ33">
            <v>0</v>
          </cell>
          <cell r="AR33">
            <v>-8.1000000000000003E-2</v>
          </cell>
          <cell r="AS33">
            <v>-1.12E-2</v>
          </cell>
          <cell r="AT33">
            <v>8.5000000000000006E-3</v>
          </cell>
          <cell r="AU33">
            <v>4.8000000000000004E-3</v>
          </cell>
          <cell r="AV33">
            <v>-0.2</v>
          </cell>
        </row>
        <row r="34">
          <cell r="Q34">
            <v>45107</v>
          </cell>
          <cell r="R34">
            <v>0</v>
          </cell>
          <cell r="S34">
            <v>5.8500000000000003E-2</v>
          </cell>
          <cell r="T34">
            <v>0</v>
          </cell>
          <cell r="U34">
            <v>-3.1E-2</v>
          </cell>
          <cell r="V34">
            <v>-0.87750000000000006</v>
          </cell>
          <cell r="W34">
            <v>0.16799999999999998</v>
          </cell>
          <cell r="X34">
            <v>9.3500000000000014E-2</v>
          </cell>
          <cell r="Y34">
            <v>5.7599999999999998E-2</v>
          </cell>
          <cell r="Z34">
            <v>0</v>
          </cell>
          <cell r="AM34">
            <v>45107</v>
          </cell>
          <cell r="AN34">
            <v>0</v>
          </cell>
          <cell r="AO34">
            <v>-1.3000000000000001E-2</v>
          </cell>
          <cell r="AP34">
            <v>2.3400000000000001E-2</v>
          </cell>
          <cell r="AQ34">
            <v>-3.1E-2</v>
          </cell>
          <cell r="AR34">
            <v>-6.7500000000000004E-2</v>
          </cell>
          <cell r="AS34">
            <v>-2.24E-2</v>
          </cell>
          <cell r="AT34">
            <v>8.5000000000000006E-3</v>
          </cell>
          <cell r="AU34">
            <v>-1.44E-2</v>
          </cell>
          <cell r="AV34">
            <v>-0.2</v>
          </cell>
        </row>
        <row r="35">
          <cell r="Q35">
            <v>45138</v>
          </cell>
          <cell r="R35">
            <v>0</v>
          </cell>
          <cell r="S35">
            <v>6.5000000000000002E-2</v>
          </cell>
          <cell r="T35">
            <v>2.3400000000000001E-2</v>
          </cell>
          <cell r="U35">
            <v>-1.2400000000000001E-2</v>
          </cell>
          <cell r="V35">
            <v>-0.63450000000000006</v>
          </cell>
          <cell r="W35">
            <v>0.26879999999999998</v>
          </cell>
          <cell r="X35">
            <v>0.10200000000000001</v>
          </cell>
          <cell r="Y35">
            <v>9.8399999999999987E-2</v>
          </cell>
          <cell r="Z35">
            <v>-0.3</v>
          </cell>
          <cell r="AM35">
            <v>45138</v>
          </cell>
          <cell r="AN35">
            <v>0</v>
          </cell>
          <cell r="AO35">
            <v>-1.95E-2</v>
          </cell>
          <cell r="AP35">
            <v>2.3400000000000001E-2</v>
          </cell>
          <cell r="AQ35">
            <v>3.7199999999999997E-2</v>
          </cell>
          <cell r="AR35">
            <v>0.16200000000000001</v>
          </cell>
          <cell r="AS35">
            <v>0.14559999999999998</v>
          </cell>
          <cell r="AT35">
            <v>8.5000000000000006E-3</v>
          </cell>
          <cell r="AU35">
            <v>2.1600000000000001E-2</v>
          </cell>
          <cell r="AV35">
            <v>0.2</v>
          </cell>
        </row>
        <row r="36">
          <cell r="Q36">
            <v>45169</v>
          </cell>
          <cell r="R36">
            <v>0</v>
          </cell>
          <cell r="S36">
            <v>7.1500000000000008E-2</v>
          </cell>
          <cell r="T36">
            <v>2.3400000000000001E-2</v>
          </cell>
          <cell r="U36">
            <v>-3.1E-2</v>
          </cell>
          <cell r="V36">
            <v>-0.28350000000000003</v>
          </cell>
          <cell r="W36">
            <v>0.27999999999999997</v>
          </cell>
          <cell r="X36">
            <v>0.10200000000000001</v>
          </cell>
          <cell r="Y36">
            <v>9.1200000000000003E-2</v>
          </cell>
          <cell r="Z36">
            <v>0.1</v>
          </cell>
          <cell r="AM36">
            <v>45169</v>
          </cell>
          <cell r="AN36">
            <v>0</v>
          </cell>
          <cell r="AO36">
            <v>-6.5000000000000006E-3</v>
          </cell>
          <cell r="AP36">
            <v>2.3400000000000001E-2</v>
          </cell>
          <cell r="AQ36">
            <v>-1.8599999999999998E-2</v>
          </cell>
          <cell r="AR36">
            <v>0.13500000000000001</v>
          </cell>
          <cell r="AS36">
            <v>2.24E-2</v>
          </cell>
          <cell r="AT36">
            <v>8.5000000000000006E-3</v>
          </cell>
          <cell r="AU36">
            <v>0</v>
          </cell>
          <cell r="AV36">
            <v>0.3</v>
          </cell>
        </row>
        <row r="37">
          <cell r="Q37">
            <v>45199</v>
          </cell>
          <cell r="R37">
            <v>0</v>
          </cell>
          <cell r="S37">
            <v>7.1500000000000008E-2</v>
          </cell>
          <cell r="T37">
            <v>4.6800000000000001E-2</v>
          </cell>
          <cell r="U37">
            <v>-2.4800000000000003E-2</v>
          </cell>
          <cell r="V37">
            <v>-0.17550000000000002</v>
          </cell>
          <cell r="W37">
            <v>0.27999999999999997</v>
          </cell>
          <cell r="X37">
            <v>0.11050000000000001</v>
          </cell>
          <cell r="Y37">
            <v>9.3600000000000003E-2</v>
          </cell>
          <cell r="Z37">
            <v>0</v>
          </cell>
          <cell r="AM37">
            <v>45199</v>
          </cell>
          <cell r="AN37">
            <v>0</v>
          </cell>
          <cell r="AO37">
            <v>5.2000000000000005E-2</v>
          </cell>
          <cell r="AP37">
            <v>0</v>
          </cell>
          <cell r="AQ37">
            <v>6.2000000000000006E-3</v>
          </cell>
          <cell r="AR37">
            <v>1.3500000000000002E-2</v>
          </cell>
          <cell r="AS37">
            <v>4.48E-2</v>
          </cell>
          <cell r="AT37">
            <v>8.5000000000000006E-3</v>
          </cell>
          <cell r="AU37">
            <v>-2.4000000000000002E-3</v>
          </cell>
          <cell r="AV37">
            <v>0.2</v>
          </cell>
        </row>
        <row r="38">
          <cell r="Q38">
            <v>45230</v>
          </cell>
          <cell r="R38">
            <v>0</v>
          </cell>
          <cell r="S38">
            <v>7.1500000000000008E-2</v>
          </cell>
          <cell r="T38">
            <v>7.0199999999999999E-2</v>
          </cell>
          <cell r="U38">
            <v>-3.7199999999999997E-2</v>
          </cell>
          <cell r="V38">
            <v>-0.12150000000000001</v>
          </cell>
          <cell r="W38">
            <v>0.25759999999999994</v>
          </cell>
          <cell r="X38">
            <v>0.11050000000000001</v>
          </cell>
          <cell r="Y38">
            <v>8.6400000000000005E-2</v>
          </cell>
          <cell r="Z38">
            <v>-0.2</v>
          </cell>
          <cell r="AM38">
            <v>45230</v>
          </cell>
          <cell r="AN38">
            <v>0</v>
          </cell>
          <cell r="AO38">
            <v>1.3000000000000001E-2</v>
          </cell>
          <cell r="AP38">
            <v>0</v>
          </cell>
          <cell r="AQ38">
            <v>6.2000000000000006E-3</v>
          </cell>
          <cell r="AR38">
            <v>0</v>
          </cell>
          <cell r="AS38">
            <v>0</v>
          </cell>
          <cell r="AT38">
            <v>0</v>
          </cell>
          <cell r="AU38">
            <v>2.4000000000000002E-3</v>
          </cell>
          <cell r="AV38">
            <v>-0.1</v>
          </cell>
        </row>
        <row r="39">
          <cell r="Q39">
            <v>45260</v>
          </cell>
          <cell r="R39">
            <v>0</v>
          </cell>
          <cell r="S39">
            <v>8.4500000000000006E-2</v>
          </cell>
          <cell r="T39">
            <v>7.0199999999999999E-2</v>
          </cell>
          <cell r="U39">
            <v>-3.1E-2</v>
          </cell>
          <cell r="V39">
            <v>-0.32400000000000001</v>
          </cell>
          <cell r="W39">
            <v>0.20159999999999997</v>
          </cell>
          <cell r="X39">
            <v>0.11050000000000001</v>
          </cell>
          <cell r="Y39">
            <v>7.2000000000000008E-2</v>
          </cell>
          <cell r="Z39">
            <v>-0.5</v>
          </cell>
          <cell r="AM39">
            <v>45260</v>
          </cell>
          <cell r="AN39">
            <v>0</v>
          </cell>
          <cell r="AO39">
            <v>3.9E-2</v>
          </cell>
          <cell r="AP39">
            <v>0</v>
          </cell>
          <cell r="AQ39">
            <v>-1.2400000000000001E-2</v>
          </cell>
          <cell r="AR39">
            <v>-0.189</v>
          </cell>
          <cell r="AS39">
            <v>-0.10079999999999999</v>
          </cell>
          <cell r="AT39">
            <v>0</v>
          </cell>
          <cell r="AU39">
            <v>-1.44E-2</v>
          </cell>
          <cell r="AV39">
            <v>-0.5</v>
          </cell>
        </row>
        <row r="40">
          <cell r="Q40">
            <v>45291</v>
          </cell>
          <cell r="R40">
            <v>0</v>
          </cell>
          <cell r="S40">
            <v>9.0999999999999998E-2</v>
          </cell>
          <cell r="T40">
            <v>7.0199999999999999E-2</v>
          </cell>
          <cell r="U40">
            <v>0</v>
          </cell>
          <cell r="V40">
            <v>-0.29700000000000004</v>
          </cell>
          <cell r="W40">
            <v>0.20159999999999997</v>
          </cell>
          <cell r="X40">
            <v>0.11899999999999999</v>
          </cell>
          <cell r="Y40">
            <v>6.9599999999999995E-2</v>
          </cell>
          <cell r="Z40">
            <v>-0.3</v>
          </cell>
          <cell r="AM40">
            <v>45291</v>
          </cell>
          <cell r="AN40">
            <v>0</v>
          </cell>
          <cell r="AO40">
            <v>6.5000000000000006E-3</v>
          </cell>
          <cell r="AP40">
            <v>0</v>
          </cell>
          <cell r="AQ40">
            <v>4.9600000000000005E-2</v>
          </cell>
          <cell r="AR40">
            <v>-0.16200000000000001</v>
          </cell>
          <cell r="AS40">
            <v>1.12E-2</v>
          </cell>
          <cell r="AT40">
            <v>8.5000000000000006E-3</v>
          </cell>
          <cell r="AU40">
            <v>7.1999999999999998E-3</v>
          </cell>
          <cell r="AV40">
            <v>0.1</v>
          </cell>
        </row>
        <row r="41">
          <cell r="Q41">
            <v>45322</v>
          </cell>
          <cell r="R41">
            <v>0</v>
          </cell>
          <cell r="S41">
            <v>0.10400000000000001</v>
          </cell>
          <cell r="T41">
            <v>7.0199999999999999E-2</v>
          </cell>
          <cell r="U41">
            <v>6.2E-2</v>
          </cell>
          <cell r="V41">
            <v>-0.32400000000000001</v>
          </cell>
          <cell r="W41">
            <v>0.14559999999999998</v>
          </cell>
          <cell r="X41">
            <v>0.11050000000000001</v>
          </cell>
          <cell r="Y41">
            <v>6.9599999999999995E-2</v>
          </cell>
          <cell r="Z41">
            <v>-0.8</v>
          </cell>
          <cell r="AM41">
            <v>45322</v>
          </cell>
          <cell r="AN41">
            <v>0</v>
          </cell>
          <cell r="AO41">
            <v>-1.95E-2</v>
          </cell>
          <cell r="AP41">
            <v>0</v>
          </cell>
          <cell r="AQ41">
            <v>6.2E-2</v>
          </cell>
          <cell r="AR41">
            <v>1.3500000000000002E-2</v>
          </cell>
          <cell r="AS41">
            <v>7.8399999999999984E-2</v>
          </cell>
          <cell r="AT41">
            <v>8.5000000000000006E-3</v>
          </cell>
          <cell r="AU41">
            <v>2.6400000000000003E-2</v>
          </cell>
          <cell r="AV41">
            <v>0.3</v>
          </cell>
        </row>
        <row r="42">
          <cell r="Q42">
            <v>45351</v>
          </cell>
          <cell r="R42">
            <v>0</v>
          </cell>
          <cell r="S42">
            <v>0.10400000000000001</v>
          </cell>
          <cell r="T42">
            <v>4.6800000000000001E-2</v>
          </cell>
          <cell r="U42">
            <v>3.1E-2</v>
          </cell>
          <cell r="V42">
            <v>-5.4000000000000006E-2</v>
          </cell>
          <cell r="W42">
            <v>0.43679999999999997</v>
          </cell>
          <cell r="X42">
            <v>0.1275</v>
          </cell>
          <cell r="Y42">
            <v>7.2000000000000008E-2</v>
          </cell>
          <cell r="Z42">
            <v>0.7</v>
          </cell>
          <cell r="AM42">
            <v>45351</v>
          </cell>
          <cell r="AN42">
            <v>0</v>
          </cell>
          <cell r="AO42">
            <v>-1.3000000000000001E-2</v>
          </cell>
          <cell r="AP42">
            <v>0</v>
          </cell>
          <cell r="AQ42">
            <v>-3.1E-2</v>
          </cell>
          <cell r="AR42">
            <v>0.21600000000000003</v>
          </cell>
          <cell r="AS42">
            <v>0.19039999999999999</v>
          </cell>
          <cell r="AT42">
            <v>3.4000000000000002E-2</v>
          </cell>
          <cell r="AU42">
            <v>-4.8000000000000004E-3</v>
          </cell>
          <cell r="AV42">
            <v>1</v>
          </cell>
        </row>
        <row r="43">
          <cell r="Q43">
            <v>45382</v>
          </cell>
          <cell r="R43">
            <v>0</v>
          </cell>
          <cell r="S43">
            <v>0.10400000000000001</v>
          </cell>
          <cell r="T43">
            <v>4.6800000000000001E-2</v>
          </cell>
          <cell r="U43">
            <v>6.2E-2</v>
          </cell>
          <cell r="V43">
            <v>-0.17550000000000002</v>
          </cell>
          <cell r="W43">
            <v>0.20159999999999997</v>
          </cell>
          <cell r="X43">
            <v>0.1275</v>
          </cell>
          <cell r="Y43">
            <v>6.480000000000001E-2</v>
          </cell>
          <cell r="Z43">
            <v>0.1</v>
          </cell>
          <cell r="AM43">
            <v>45382</v>
          </cell>
          <cell r="AN43">
            <v>0</v>
          </cell>
          <cell r="AO43">
            <v>3.9E-2</v>
          </cell>
          <cell r="AP43">
            <v>2.3400000000000001E-2</v>
          </cell>
          <cell r="AQ43">
            <v>0</v>
          </cell>
          <cell r="AR43">
            <v>-0.189</v>
          </cell>
          <cell r="AS43">
            <v>-0.23519999999999999</v>
          </cell>
          <cell r="AT43">
            <v>8.5000000000000006E-3</v>
          </cell>
          <cell r="AU43">
            <v>1.44E-2</v>
          </cell>
          <cell r="AV43">
            <v>-1</v>
          </cell>
        </row>
        <row r="44">
          <cell r="Q44">
            <v>45412</v>
          </cell>
          <cell r="R44">
            <v>0</v>
          </cell>
          <cell r="S44">
            <v>0.10400000000000001</v>
          </cell>
          <cell r="T44">
            <v>4.6800000000000001E-2</v>
          </cell>
          <cell r="U44">
            <v>8.6799999999999988E-2</v>
          </cell>
          <cell r="V44">
            <v>1.3500000000000002E-2</v>
          </cell>
          <cell r="W44">
            <v>0.20159999999999997</v>
          </cell>
          <cell r="X44">
            <v>0.13600000000000001</v>
          </cell>
          <cell r="Y44">
            <v>9.1200000000000003E-2</v>
          </cell>
          <cell r="Z44">
            <v>0.3</v>
          </cell>
          <cell r="AM44">
            <v>45412</v>
          </cell>
          <cell r="AN44">
            <v>0</v>
          </cell>
          <cell r="AO44">
            <v>-6.5000000000000006E-3</v>
          </cell>
          <cell r="AP44">
            <v>0</v>
          </cell>
          <cell r="AQ44">
            <v>2.4800000000000003E-2</v>
          </cell>
          <cell r="AR44">
            <v>0.13500000000000001</v>
          </cell>
          <cell r="AS44">
            <v>5.5999999999999994E-2</v>
          </cell>
          <cell r="AT44">
            <v>1.7000000000000001E-2</v>
          </cell>
          <cell r="AU44">
            <v>4.8000000000000001E-2</v>
          </cell>
          <cell r="AV44">
            <v>0.1</v>
          </cell>
        </row>
        <row r="45">
          <cell r="Q45">
            <v>45443</v>
          </cell>
          <cell r="R45">
            <v>0</v>
          </cell>
          <cell r="S45">
            <v>0.10400000000000001</v>
          </cell>
          <cell r="T45">
            <v>4.6800000000000001E-2</v>
          </cell>
          <cell r="U45">
            <v>4.9600000000000005E-2</v>
          </cell>
          <cell r="V45">
            <v>-2.7000000000000003E-2</v>
          </cell>
          <cell r="W45">
            <v>0.19039999999999999</v>
          </cell>
          <cell r="X45">
            <v>0.1275</v>
          </cell>
          <cell r="Y45">
            <v>8.6400000000000005E-2</v>
          </cell>
          <cell r="Z45">
            <v>0.3</v>
          </cell>
          <cell r="AM45">
            <v>45443</v>
          </cell>
          <cell r="AN45">
            <v>0</v>
          </cell>
          <cell r="AO45">
            <v>2.6000000000000002E-2</v>
          </cell>
          <cell r="AP45">
            <v>-2.3400000000000001E-2</v>
          </cell>
          <cell r="AQ45">
            <v>-4.3399999999999994E-2</v>
          </cell>
          <cell r="AR45">
            <v>-0.10800000000000001</v>
          </cell>
          <cell r="AS45">
            <v>-1.12E-2</v>
          </cell>
          <cell r="AT45">
            <v>0</v>
          </cell>
          <cell r="AU45">
            <v>2.4000000000000002E-3</v>
          </cell>
          <cell r="AV45">
            <v>-0.1</v>
          </cell>
        </row>
        <row r="46">
          <cell r="Q46">
            <v>45473</v>
          </cell>
          <cell r="R46">
            <v>0</v>
          </cell>
          <cell r="S46">
            <v>9.7500000000000003E-2</v>
          </cell>
          <cell r="T46">
            <v>4.6800000000000001E-2</v>
          </cell>
          <cell r="U46">
            <v>5.5800000000000002E-2</v>
          </cell>
          <cell r="V46">
            <v>-4.0500000000000001E-2</v>
          </cell>
          <cell r="W46">
            <v>0.19039999999999999</v>
          </cell>
          <cell r="X46">
            <v>0.1275</v>
          </cell>
          <cell r="Y46">
            <v>9.6000000000000002E-2</v>
          </cell>
          <cell r="Z46">
            <v>0.2</v>
          </cell>
          <cell r="AM46">
            <v>45473</v>
          </cell>
          <cell r="AN46">
            <v>0</v>
          </cell>
          <cell r="AO46">
            <v>-1.3000000000000001E-2</v>
          </cell>
          <cell r="AP46">
            <v>2.3400000000000001E-2</v>
          </cell>
          <cell r="AQ46">
            <v>-2.4800000000000003E-2</v>
          </cell>
          <cell r="AR46">
            <v>-8.1000000000000003E-2</v>
          </cell>
          <cell r="AS46">
            <v>-2.24E-2</v>
          </cell>
          <cell r="AT46">
            <v>8.5000000000000006E-3</v>
          </cell>
          <cell r="AU46">
            <v>-4.8000000000000004E-3</v>
          </cell>
          <cell r="AV46">
            <v>-0.2</v>
          </cell>
        </row>
        <row r="47">
          <cell r="Q47">
            <v>45504</v>
          </cell>
          <cell r="R47">
            <v>0</v>
          </cell>
          <cell r="S47">
            <v>9.7500000000000003E-2</v>
          </cell>
          <cell r="T47">
            <v>2.3400000000000001E-2</v>
          </cell>
          <cell r="U47">
            <v>4.3399999999999994E-2</v>
          </cell>
          <cell r="V47">
            <v>-8.1000000000000003E-2</v>
          </cell>
          <cell r="W47">
            <v>0.19039999999999999</v>
          </cell>
          <cell r="X47">
            <v>0.11899999999999999</v>
          </cell>
          <cell r="Y47">
            <v>9.6000000000000002E-2</v>
          </cell>
          <cell r="Z47">
            <v>0.5</v>
          </cell>
          <cell r="AM47">
            <v>45504</v>
          </cell>
          <cell r="AN47">
            <v>0</v>
          </cell>
          <cell r="AO47">
            <v>-2.6000000000000002E-2</v>
          </cell>
          <cell r="AP47">
            <v>0</v>
          </cell>
          <cell r="AQ47">
            <v>2.4800000000000003E-2</v>
          </cell>
          <cell r="AR47">
            <v>0.12150000000000001</v>
          </cell>
          <cell r="AS47">
            <v>0.14559999999999998</v>
          </cell>
          <cell r="AT47">
            <v>0</v>
          </cell>
          <cell r="AU47">
            <v>2.1600000000000001E-2</v>
          </cell>
          <cell r="AV47">
            <v>0.5</v>
          </cell>
        </row>
        <row r="48">
          <cell r="Q48">
            <v>45535</v>
          </cell>
          <cell r="R48">
            <v>0</v>
          </cell>
          <cell r="S48">
            <v>9.0999999999999998E-2</v>
          </cell>
          <cell r="T48">
            <v>0</v>
          </cell>
          <cell r="U48">
            <v>1.2400000000000001E-2</v>
          </cell>
          <cell r="V48">
            <v>-0.36450000000000005</v>
          </cell>
          <cell r="W48">
            <v>0.14559999999999998</v>
          </cell>
          <cell r="X48">
            <v>0.11050000000000001</v>
          </cell>
          <cell r="Y48">
            <v>8.1600000000000006E-2</v>
          </cell>
          <cell r="Z48">
            <v>0.6</v>
          </cell>
          <cell r="AM48">
            <v>45535</v>
          </cell>
          <cell r="AN48">
            <v>0</v>
          </cell>
          <cell r="AO48">
            <v>-1.3000000000000001E-2</v>
          </cell>
          <cell r="AP48">
            <v>0</v>
          </cell>
          <cell r="AQ48">
            <v>-4.3399999999999994E-2</v>
          </cell>
          <cell r="AR48">
            <v>-0.14850000000000002</v>
          </cell>
          <cell r="AS48">
            <v>-1.12E-2</v>
          </cell>
          <cell r="AT48">
            <v>0</v>
          </cell>
          <cell r="AU48">
            <v>-1.44E-2</v>
          </cell>
          <cell r="AV48">
            <v>0.4</v>
          </cell>
        </row>
        <row r="49">
          <cell r="Q49">
            <v>45565</v>
          </cell>
          <cell r="R49">
            <v>0</v>
          </cell>
          <cell r="S49">
            <v>8.4500000000000006E-2</v>
          </cell>
          <cell r="T49">
            <v>-2.3400000000000001E-2</v>
          </cell>
          <cell r="U49">
            <v>6.2000000000000006E-3</v>
          </cell>
          <cell r="V49">
            <v>-0.55349999999999999</v>
          </cell>
          <cell r="W49">
            <v>6.7199999999999996E-2</v>
          </cell>
          <cell r="X49">
            <v>0.10200000000000001</v>
          </cell>
          <cell r="Y49">
            <v>8.4000000000000005E-2</v>
          </cell>
          <cell r="Z49">
            <v>0.4</v>
          </cell>
          <cell r="AM49">
            <v>45565</v>
          </cell>
          <cell r="AN49">
            <v>0</v>
          </cell>
          <cell r="AO49">
            <v>5.2000000000000005E-2</v>
          </cell>
          <cell r="AP49">
            <v>-2.3400000000000001E-2</v>
          </cell>
          <cell r="AQ49">
            <v>0</v>
          </cell>
          <cell r="AR49">
            <v>-0.17550000000000002</v>
          </cell>
          <cell r="AS49">
            <v>-3.3599999999999998E-2</v>
          </cell>
          <cell r="AT49">
            <v>0</v>
          </cell>
          <cell r="AU49">
            <v>0</v>
          </cell>
          <cell r="AV49">
            <v>0</v>
          </cell>
        </row>
        <row r="50">
          <cell r="Q50">
            <v>45596</v>
          </cell>
          <cell r="R50">
            <v>0</v>
          </cell>
          <cell r="S50">
            <v>7.1500000000000008E-2</v>
          </cell>
          <cell r="T50">
            <v>-2.3400000000000001E-2</v>
          </cell>
          <cell r="U50">
            <v>6.2000000000000006E-3</v>
          </cell>
          <cell r="V50">
            <v>-0.64800000000000002</v>
          </cell>
          <cell r="W50">
            <v>8.9599999999999999E-2</v>
          </cell>
          <cell r="X50">
            <v>9.3500000000000014E-2</v>
          </cell>
          <cell r="Y50">
            <v>0.11280000000000001</v>
          </cell>
          <cell r="Z50">
            <v>0.3</v>
          </cell>
          <cell r="AM50">
            <v>45596</v>
          </cell>
          <cell r="AN50">
            <v>0</v>
          </cell>
          <cell r="AO50">
            <v>0</v>
          </cell>
          <cell r="AP50">
            <v>0</v>
          </cell>
          <cell r="AQ50">
            <v>6.2000000000000006E-3</v>
          </cell>
          <cell r="AR50">
            <v>-9.4500000000000001E-2</v>
          </cell>
          <cell r="AS50">
            <v>2.24E-2</v>
          </cell>
          <cell r="AT50">
            <v>0</v>
          </cell>
          <cell r="AU50">
            <v>2.6400000000000003E-2</v>
          </cell>
          <cell r="AV50">
            <v>-0.3</v>
          </cell>
        </row>
        <row r="51">
          <cell r="Q51">
            <v>45626</v>
          </cell>
          <cell r="R51">
            <v>0</v>
          </cell>
          <cell r="S51">
            <v>7.1500000000000008E-2</v>
          </cell>
          <cell r="T51">
            <v>-2.3400000000000001E-2</v>
          </cell>
          <cell r="U51">
            <v>-1.8599999999999998E-2</v>
          </cell>
          <cell r="V51">
            <v>-0.48600000000000004</v>
          </cell>
          <cell r="W51">
            <v>0.11199999999999999</v>
          </cell>
          <cell r="X51">
            <v>9.3500000000000014E-2</v>
          </cell>
          <cell r="Y51">
            <v>0.12480000000000001</v>
          </cell>
          <cell r="Z51">
            <v>0.2</v>
          </cell>
          <cell r="AM51">
            <v>45626</v>
          </cell>
          <cell r="AN51">
            <v>0</v>
          </cell>
          <cell r="AO51">
            <v>3.9E-2</v>
          </cell>
          <cell r="AP51">
            <v>0</v>
          </cell>
          <cell r="AQ51">
            <v>-3.7199999999999997E-2</v>
          </cell>
          <cell r="AR51">
            <v>-1.3500000000000002E-2</v>
          </cell>
          <cell r="AS51">
            <v>-7.8399999999999984E-2</v>
          </cell>
          <cell r="AT51">
            <v>0</v>
          </cell>
          <cell r="AU51">
            <v>-2.4000000000000002E-3</v>
          </cell>
          <cell r="AV51">
            <v>-0.6</v>
          </cell>
        </row>
        <row r="52">
          <cell r="Q52">
            <v>45657</v>
          </cell>
          <cell r="R52">
            <v>0</v>
          </cell>
          <cell r="S52">
            <v>7.8E-2</v>
          </cell>
          <cell r="T52">
            <v>2.3400000000000001E-2</v>
          </cell>
          <cell r="U52">
            <v>-4.3399999999999994E-2</v>
          </cell>
          <cell r="V52">
            <v>-0.29700000000000004</v>
          </cell>
          <cell r="W52">
            <v>0.10079999999999999</v>
          </cell>
          <cell r="X52">
            <v>7.6500000000000012E-2</v>
          </cell>
          <cell r="Y52">
            <v>0.11760000000000001</v>
          </cell>
          <cell r="Z52">
            <v>0.1</v>
          </cell>
          <cell r="AM52">
            <v>45657</v>
          </cell>
          <cell r="AN52">
            <v>0</v>
          </cell>
          <cell r="AO52">
            <v>1.3000000000000001E-2</v>
          </cell>
          <cell r="AP52">
            <v>2.3400000000000001E-2</v>
          </cell>
          <cell r="AQ52">
            <v>1.8599999999999998E-2</v>
          </cell>
          <cell r="AR52">
            <v>4.0500000000000001E-2</v>
          </cell>
          <cell r="AS52">
            <v>0</v>
          </cell>
          <cell r="AT52">
            <v>-8.5000000000000006E-3</v>
          </cell>
          <cell r="AU52">
            <v>0</v>
          </cell>
          <cell r="AV52">
            <v>0</v>
          </cell>
        </row>
        <row r="53">
          <cell r="Q53">
            <v>45688</v>
          </cell>
          <cell r="R53">
            <v>0</v>
          </cell>
          <cell r="S53">
            <v>7.1500000000000008E-2</v>
          </cell>
          <cell r="T53">
            <v>2.3400000000000001E-2</v>
          </cell>
          <cell r="U53">
            <v>-6.8200000000000011E-2</v>
          </cell>
          <cell r="V53">
            <v>-8.1000000000000003E-2</v>
          </cell>
          <cell r="W53">
            <v>0.19039999999999999</v>
          </cell>
          <cell r="X53">
            <v>5.9499999999999997E-2</v>
          </cell>
          <cell r="Y53">
            <v>0.12960000000000002</v>
          </cell>
          <cell r="Z53">
            <v>0.5</v>
          </cell>
          <cell r="AM53">
            <v>45688</v>
          </cell>
          <cell r="AN53">
            <v>0</v>
          </cell>
          <cell r="AO53">
            <v>-2.6000000000000002E-2</v>
          </cell>
          <cell r="AP53">
            <v>0</v>
          </cell>
          <cell r="AQ53">
            <v>4.3399999999999994E-2</v>
          </cell>
          <cell r="AR53">
            <v>0.22950000000000001</v>
          </cell>
          <cell r="AS53">
            <v>0.16799999999999998</v>
          </cell>
          <cell r="AT53">
            <v>0</v>
          </cell>
          <cell r="AU53">
            <v>3.8400000000000004E-2</v>
          </cell>
          <cell r="AV53">
            <v>0.7</v>
          </cell>
        </row>
        <row r="54">
          <cell r="Q54">
            <v>45716</v>
          </cell>
          <cell r="R54">
            <v>0</v>
          </cell>
          <cell r="S54">
            <v>7.8E-2</v>
          </cell>
          <cell r="T54">
            <v>2.3400000000000001E-2</v>
          </cell>
          <cell r="U54">
            <v>-4.3399999999999994E-2</v>
          </cell>
          <cell r="V54">
            <v>-0.33750000000000002</v>
          </cell>
          <cell r="W54">
            <v>-5.5999999999999994E-2</v>
          </cell>
          <cell r="X54">
            <v>1.7000000000000001E-2</v>
          </cell>
          <cell r="Y54">
            <v>0.156</v>
          </cell>
          <cell r="Z54">
            <v>-0.7</v>
          </cell>
          <cell r="AM54">
            <v>45716</v>
          </cell>
          <cell r="AN54">
            <v>0</v>
          </cell>
          <cell r="AO54">
            <v>-6.5000000000000006E-3</v>
          </cell>
          <cell r="AP54">
            <v>0</v>
          </cell>
          <cell r="AQ54">
            <v>-6.2000000000000006E-3</v>
          </cell>
          <cell r="AR54">
            <v>-5.4000000000000006E-2</v>
          </cell>
          <cell r="AS54">
            <v>-5.5999999999999994E-2</v>
          </cell>
          <cell r="AT54">
            <v>0</v>
          </cell>
          <cell r="AU54">
            <v>1.6799999999999999E-2</v>
          </cell>
          <cell r="AV54">
            <v>-0.2</v>
          </cell>
        </row>
        <row r="55">
          <cell r="Q55">
            <v>45747</v>
          </cell>
          <cell r="R55">
            <v>0</v>
          </cell>
          <cell r="S55">
            <v>8.4500000000000006E-2</v>
          </cell>
          <cell r="T55">
            <v>2.3400000000000001E-2</v>
          </cell>
          <cell r="U55">
            <v>3.7199999999999997E-2</v>
          </cell>
          <cell r="V55">
            <v>-0.35100000000000003</v>
          </cell>
          <cell r="W55">
            <v>8.9599999999999999E-2</v>
          </cell>
          <cell r="X55">
            <v>8.5000000000000006E-3</v>
          </cell>
          <cell r="Y55">
            <v>0.14880000000000002</v>
          </cell>
          <cell r="Z55">
            <v>-0.1</v>
          </cell>
          <cell r="AM55">
            <v>45747</v>
          </cell>
          <cell r="AN55">
            <v>0</v>
          </cell>
          <cell r="AO55">
            <v>4.5499999999999999E-2</v>
          </cell>
          <cell r="AP55">
            <v>0</v>
          </cell>
          <cell r="AQ55">
            <v>8.0600000000000005E-2</v>
          </cell>
          <cell r="AR55">
            <v>-0.189</v>
          </cell>
          <cell r="AS55">
            <v>-8.9599999999999999E-2</v>
          </cell>
          <cell r="AT55">
            <v>0</v>
          </cell>
          <cell r="AU55">
            <v>9.6000000000000009E-3</v>
          </cell>
          <cell r="AV55">
            <v>-0.4</v>
          </cell>
        </row>
        <row r="56">
          <cell r="Q56">
            <v>45777</v>
          </cell>
          <cell r="R56">
            <v>0</v>
          </cell>
          <cell r="S56">
            <v>8.4500000000000006E-2</v>
          </cell>
          <cell r="T56">
            <v>2.3400000000000001E-2</v>
          </cell>
          <cell r="U56">
            <v>1.2400000000000001E-2</v>
          </cell>
          <cell r="V56">
            <v>-0.52649999999999997</v>
          </cell>
          <cell r="W56">
            <v>7.8399999999999984E-2</v>
          </cell>
          <cell r="X56">
            <v>1.7000000000000001E-2</v>
          </cell>
          <cell r="Y56">
            <v>0.15839999999999999</v>
          </cell>
          <cell r="Z56">
            <v>-0.1</v>
          </cell>
          <cell r="AM56">
            <v>45777</v>
          </cell>
          <cell r="AN56">
            <v>0</v>
          </cell>
          <cell r="AO56">
            <v>-6.5000000000000006E-3</v>
          </cell>
          <cell r="AP56">
            <v>0</v>
          </cell>
          <cell r="AQ56">
            <v>0</v>
          </cell>
          <cell r="AR56">
            <v>-4.0500000000000001E-2</v>
          </cell>
          <cell r="AS56">
            <v>4.48E-2</v>
          </cell>
          <cell r="AT56">
            <v>1.7000000000000001E-2</v>
          </cell>
          <cell r="AU56">
            <v>5.7599999999999998E-2</v>
          </cell>
          <cell r="AV56">
            <v>0.1</v>
          </cell>
        </row>
        <row r="57">
          <cell r="Q57">
            <v>45808</v>
          </cell>
          <cell r="R57">
            <v>0</v>
          </cell>
          <cell r="S57">
            <v>9.7500000000000003E-2</v>
          </cell>
          <cell r="T57">
            <v>2.3400000000000001E-2</v>
          </cell>
          <cell r="U57">
            <v>6.2000000000000006E-3</v>
          </cell>
          <cell r="V57">
            <v>-0.58050000000000002</v>
          </cell>
          <cell r="W57">
            <v>0.10079999999999999</v>
          </cell>
          <cell r="X57">
            <v>2.5500000000000002E-2</v>
          </cell>
          <cell r="Y57">
            <v>0.17519999999999999</v>
          </cell>
          <cell r="Z57">
            <v>-0.1</v>
          </cell>
          <cell r="AM57">
            <v>45808</v>
          </cell>
          <cell r="AN57">
            <v>0</v>
          </cell>
          <cell r="AO57">
            <v>3.9E-2</v>
          </cell>
          <cell r="AP57">
            <v>0</v>
          </cell>
          <cell r="AQ57">
            <v>-4.9600000000000005E-2</v>
          </cell>
          <cell r="AR57">
            <v>-0.16200000000000001</v>
          </cell>
          <cell r="AS57">
            <v>1.12E-2</v>
          </cell>
          <cell r="AT57">
            <v>8.5000000000000006E-3</v>
          </cell>
          <cell r="AU57">
            <v>1.6799999999999999E-2</v>
          </cell>
          <cell r="AV57">
            <v>-0.2</v>
          </cell>
        </row>
        <row r="58">
          <cell r="Q58">
            <v>45838</v>
          </cell>
          <cell r="R58">
            <v>0</v>
          </cell>
          <cell r="S58">
            <v>0.10400000000000001</v>
          </cell>
          <cell r="T58">
            <v>2.3400000000000001E-2</v>
          </cell>
          <cell r="U58">
            <v>4.3399999999999994E-2</v>
          </cell>
          <cell r="V58">
            <v>-0.49950000000000006</v>
          </cell>
          <cell r="W58">
            <v>0.11199999999999999</v>
          </cell>
          <cell r="X58">
            <v>3.4000000000000002E-2</v>
          </cell>
          <cell r="Y58">
            <v>0.19439999999999999</v>
          </cell>
          <cell r="Z58">
            <v>0.1</v>
          </cell>
          <cell r="AM58">
            <v>45838</v>
          </cell>
          <cell r="AN58">
            <v>0</v>
          </cell>
          <cell r="AO58">
            <v>-6.5000000000000006E-3</v>
          </cell>
          <cell r="AP58">
            <v>0</v>
          </cell>
          <cell r="AQ58">
            <v>1.2400000000000001E-2</v>
          </cell>
          <cell r="AR58">
            <v>0</v>
          </cell>
          <cell r="AS58">
            <v>-1.12E-2</v>
          </cell>
          <cell r="AT58">
            <v>8.5000000000000006E-3</v>
          </cell>
          <cell r="AU58">
            <v>1.2E-2</v>
          </cell>
          <cell r="AV58">
            <v>-0.1</v>
          </cell>
        </row>
        <row r="59">
          <cell r="Q59">
            <v>45869</v>
          </cell>
          <cell r="R59">
            <v>0</v>
          </cell>
          <cell r="S59">
            <v>0.1105</v>
          </cell>
          <cell r="T59">
            <v>2.3400000000000001E-2</v>
          </cell>
          <cell r="U59">
            <v>7.4399999999999994E-2</v>
          </cell>
          <cell r="V59">
            <v>-0.41850000000000004</v>
          </cell>
          <cell r="W59">
            <v>0.10079999999999999</v>
          </cell>
          <cell r="X59">
            <v>4.2500000000000003E-2</v>
          </cell>
          <cell r="Y59">
            <v>0.192</v>
          </cell>
          <cell r="Z59">
            <v>0</v>
          </cell>
          <cell r="AM59">
            <v>45869</v>
          </cell>
          <cell r="AN59">
            <v>0</v>
          </cell>
          <cell r="AO59">
            <v>-1.95E-2</v>
          </cell>
          <cell r="AP59">
            <v>2.3400000000000001E-2</v>
          </cell>
          <cell r="AQ59">
            <v>4.9600000000000005E-2</v>
          </cell>
          <cell r="AR59">
            <v>0.20250000000000001</v>
          </cell>
          <cell r="AS59">
            <v>0.14559999999999998</v>
          </cell>
          <cell r="AT59">
            <v>1.7000000000000001E-2</v>
          </cell>
          <cell r="AU59">
            <v>2.1600000000000001E-2</v>
          </cell>
          <cell r="AV59">
            <v>0.4</v>
          </cell>
        </row>
        <row r="60">
          <cell r="Q60">
            <v>45900</v>
          </cell>
          <cell r="R60">
            <v>0</v>
          </cell>
          <cell r="S60">
            <v>0.11700000000000001</v>
          </cell>
          <cell r="T60">
            <v>2.3400000000000001E-2</v>
          </cell>
          <cell r="U60">
            <v>0.1116</v>
          </cell>
          <cell r="V60">
            <v>-0.32400000000000001</v>
          </cell>
          <cell r="W60">
            <v>0.11199999999999999</v>
          </cell>
          <cell r="X60">
            <v>7.6500000000000012E-2</v>
          </cell>
          <cell r="Y60">
            <v>0.2064</v>
          </cell>
          <cell r="Z60">
            <v>-0.4</v>
          </cell>
          <cell r="AM60">
            <v>45900</v>
          </cell>
          <cell r="AN60">
            <v>0</v>
          </cell>
          <cell r="AO60">
            <v>-6.5000000000000006E-3</v>
          </cell>
          <cell r="AP60">
            <v>0</v>
          </cell>
          <cell r="AQ60">
            <v>-6.2000000000000006E-3</v>
          </cell>
          <cell r="AR60">
            <v>-4.0500000000000001E-2</v>
          </cell>
          <cell r="AS60">
            <v>-1.12E-2</v>
          </cell>
          <cell r="AT60">
            <v>2.5500000000000002E-2</v>
          </cell>
          <cell r="AU60">
            <v>0</v>
          </cell>
          <cell r="AV60">
            <v>0</v>
          </cell>
        </row>
        <row r="61">
          <cell r="Q61">
            <v>45930</v>
          </cell>
          <cell r="R61">
            <v>0</v>
          </cell>
          <cell r="S61">
            <v>0.1105</v>
          </cell>
          <cell r="T61">
            <v>2.3400000000000001E-2</v>
          </cell>
          <cell r="U61">
            <v>0.13640000000000002</v>
          </cell>
          <cell r="V61">
            <v>-0.27</v>
          </cell>
          <cell r="W61">
            <v>8.9599999999999999E-2</v>
          </cell>
          <cell r="X61">
            <v>9.3500000000000014E-2</v>
          </cell>
          <cell r="Y61">
            <v>0.23760000000000001</v>
          </cell>
          <cell r="Z61">
            <v>-0.3</v>
          </cell>
          <cell r="AM61">
            <v>45930</v>
          </cell>
          <cell r="AN61">
            <v>0</v>
          </cell>
          <cell r="AO61">
            <v>4.5499999999999999E-2</v>
          </cell>
          <cell r="AP61">
            <v>0</v>
          </cell>
          <cell r="AQ61">
            <v>1.8599999999999998E-2</v>
          </cell>
          <cell r="AR61">
            <v>-0.12150000000000001</v>
          </cell>
          <cell r="AS61">
            <v>-4.48E-2</v>
          </cell>
          <cell r="AT61">
            <v>1.7000000000000001E-2</v>
          </cell>
          <cell r="AU61">
            <v>3.1200000000000002E-2</v>
          </cell>
          <cell r="AV61">
            <v>0.1</v>
          </cell>
        </row>
        <row r="62">
          <cell r="Q62">
            <v>45961</v>
          </cell>
          <cell r="R62">
            <v>0</v>
          </cell>
          <cell r="S62">
            <v>0.1105</v>
          </cell>
          <cell r="T62">
            <v>2.3400000000000001E-2</v>
          </cell>
          <cell r="U62">
            <v>0.11779999999999999</v>
          </cell>
          <cell r="V62">
            <v>-0.20250000000000001</v>
          </cell>
          <cell r="W62">
            <v>0.10079999999999999</v>
          </cell>
          <cell r="X62">
            <v>0.11899999999999999</v>
          </cell>
          <cell r="Y62">
            <v>0.30720000000000003</v>
          </cell>
          <cell r="Z62">
            <v>0.2</v>
          </cell>
          <cell r="AM62">
            <v>45961</v>
          </cell>
          <cell r="AN62">
            <v>0</v>
          </cell>
          <cell r="AO62">
            <v>0</v>
          </cell>
          <cell r="AP62">
            <v>-2.3400000000000001E-2</v>
          </cell>
          <cell r="AQ62">
            <v>-1.2400000000000001E-2</v>
          </cell>
          <cell r="AR62">
            <v>-2.7000000000000003E-2</v>
          </cell>
          <cell r="AS62">
            <v>3.3599999999999998E-2</v>
          </cell>
          <cell r="AT62">
            <v>2.5500000000000002E-2</v>
          </cell>
          <cell r="AU62">
            <v>9.1200000000000003E-2</v>
          </cell>
          <cell r="AV62">
            <v>0.2</v>
          </cell>
        </row>
        <row r="63">
          <cell r="Q63">
            <v>45991</v>
          </cell>
          <cell r="R63">
            <v>0</v>
          </cell>
          <cell r="S63">
            <v>0.1235</v>
          </cell>
          <cell r="T63">
            <v>0</v>
          </cell>
          <cell r="U63">
            <v>0.13020000000000001</v>
          </cell>
          <cell r="V63">
            <v>-0.3105</v>
          </cell>
          <cell r="W63">
            <v>8.9599999999999999E-2</v>
          </cell>
          <cell r="X63">
            <v>0.13600000000000001</v>
          </cell>
          <cell r="Y63">
            <v>0.34079999999999999</v>
          </cell>
          <cell r="Z63">
            <v>0.7</v>
          </cell>
          <cell r="AM63">
            <v>45991</v>
          </cell>
          <cell r="AN63">
            <v>0</v>
          </cell>
          <cell r="AO63">
            <v>4.5499999999999999E-2</v>
          </cell>
          <cell r="AP63">
            <v>-2.3400000000000001E-2</v>
          </cell>
          <cell r="AQ63">
            <v>-2.4800000000000003E-2</v>
          </cell>
          <cell r="AR63">
            <v>-0.12150000000000001</v>
          </cell>
          <cell r="AS63">
            <v>-8.9599999999999999E-2</v>
          </cell>
          <cell r="AT63">
            <v>8.5000000000000006E-3</v>
          </cell>
          <cell r="AU63">
            <v>2.8799999999999999E-2</v>
          </cell>
          <cell r="AV63">
            <v>-0.1</v>
          </cell>
        </row>
        <row r="64">
          <cell r="Q64">
            <v>46022</v>
          </cell>
          <cell r="R64">
            <v>0</v>
          </cell>
          <cell r="S64">
            <v>0.1105</v>
          </cell>
          <cell r="T64">
            <v>-4.6800000000000001E-2</v>
          </cell>
          <cell r="U64">
            <v>0.13640000000000002</v>
          </cell>
          <cell r="V64">
            <v>-0.35100000000000003</v>
          </cell>
          <cell r="W64">
            <v>0.10079999999999999</v>
          </cell>
          <cell r="X64">
            <v>0.15300000000000002</v>
          </cell>
          <cell r="Y64">
            <v>0.41759999999999997</v>
          </cell>
          <cell r="Z64">
            <v>0.8</v>
          </cell>
          <cell r="AM64">
            <v>46022</v>
          </cell>
          <cell r="AN64">
            <v>0</v>
          </cell>
          <cell r="AO64">
            <v>0</v>
          </cell>
          <cell r="AP64">
            <v>-2.3400000000000001E-2</v>
          </cell>
          <cell r="AQ64">
            <v>2.4800000000000003E-2</v>
          </cell>
          <cell r="AR64">
            <v>0</v>
          </cell>
          <cell r="AS64">
            <v>1.12E-2</v>
          </cell>
          <cell r="AT64">
            <v>8.5000000000000006E-3</v>
          </cell>
          <cell r="AU64">
            <v>6.7199999999999996E-2</v>
          </cell>
          <cell r="AV64">
            <v>0.2</v>
          </cell>
        </row>
        <row r="65">
          <cell r="Q65">
            <v>46053</v>
          </cell>
          <cell r="R65">
            <v>0</v>
          </cell>
          <cell r="S65">
            <v>0.1235</v>
          </cell>
          <cell r="T65">
            <v>-2.3400000000000001E-2</v>
          </cell>
          <cell r="U65">
            <v>0.16120000000000001</v>
          </cell>
          <cell r="V65">
            <v>-0.45900000000000002</v>
          </cell>
          <cell r="W65">
            <v>0</v>
          </cell>
          <cell r="X65">
            <v>0.14450000000000002</v>
          </cell>
          <cell r="Y65">
            <v>0.31679999999999997</v>
          </cell>
          <cell r="Z65">
            <v>0.2</v>
          </cell>
          <cell r="AM65">
            <v>46053</v>
          </cell>
          <cell r="AN65">
            <v>0</v>
          </cell>
          <cell r="AO65">
            <v>-1.3000000000000001E-2</v>
          </cell>
          <cell r="AP65">
            <v>0</v>
          </cell>
          <cell r="AQ65">
            <v>5.5800000000000002E-2</v>
          </cell>
          <cell r="AR65">
            <v>1.3500000000000002E-2</v>
          </cell>
          <cell r="AS65">
            <v>3.3599999999999998E-2</v>
          </cell>
          <cell r="AT65">
            <v>2.5500000000000002E-2</v>
          </cell>
          <cell r="AU65">
            <v>6.480000000000001E-2</v>
          </cell>
          <cell r="AV65">
            <v>0.2</v>
          </cell>
        </row>
        <row r="66">
          <cell r="Q66">
            <v>46081</v>
          </cell>
          <cell r="R66">
            <v>0</v>
          </cell>
          <cell r="S66">
            <v>0.1235</v>
          </cell>
          <cell r="T66">
            <v>-4.6800000000000001E-2</v>
          </cell>
          <cell r="U66">
            <v>0.17359999999999998</v>
          </cell>
          <cell r="V66">
            <v>-9.4500000000000001E-2</v>
          </cell>
          <cell r="W66">
            <v>0.22399999999999998</v>
          </cell>
          <cell r="X66">
            <v>0.1615</v>
          </cell>
          <cell r="Y66">
            <v>0.36960000000000004</v>
          </cell>
          <cell r="Z66">
            <v>1.3</v>
          </cell>
          <cell r="AM66">
            <v>46081</v>
          </cell>
          <cell r="AN66">
            <v>0</v>
          </cell>
          <cell r="AO66">
            <v>-6.5000000000000006E-3</v>
          </cell>
          <cell r="AP66">
            <v>0</v>
          </cell>
          <cell r="AQ66">
            <v>1.2400000000000001E-2</v>
          </cell>
          <cell r="AR66">
            <v>0.29700000000000004</v>
          </cell>
          <cell r="AS66">
            <v>0.1792</v>
          </cell>
          <cell r="AT66">
            <v>8.5000000000000006E-3</v>
          </cell>
          <cell r="AU66">
            <v>5.5199999999999999E-2</v>
          </cell>
          <cell r="AV66">
            <v>1</v>
          </cell>
        </row>
        <row r="67">
          <cell r="Q67">
            <v>46112</v>
          </cell>
          <cell r="R67">
            <v>0</v>
          </cell>
          <cell r="S67">
            <v>0.10400000000000001</v>
          </cell>
          <cell r="T67">
            <v>-4.6800000000000001E-2</v>
          </cell>
          <cell r="U67">
            <v>9.2999999999999999E-2</v>
          </cell>
          <cell r="V67">
            <v>0.12150000000000001</v>
          </cell>
          <cell r="W67">
            <v>0.1232</v>
          </cell>
          <cell r="X67">
            <v>0.1615</v>
          </cell>
          <cell r="Y67">
            <v>0.32400000000000001</v>
          </cell>
          <cell r="Z67">
            <v>1</v>
          </cell>
          <cell r="AM67">
            <v>46112</v>
          </cell>
          <cell r="AN67">
            <v>0</v>
          </cell>
          <cell r="AO67">
            <v>2.6000000000000002E-2</v>
          </cell>
          <cell r="AP67">
            <v>2.3400000000000001E-2</v>
          </cell>
          <cell r="AQ67">
            <v>-6.2000000000000006E-3</v>
          </cell>
          <cell r="AR67">
            <v>5.4000000000000006E-2</v>
          </cell>
          <cell r="AS67">
            <v>-0.1792</v>
          </cell>
          <cell r="AT67">
            <v>8.5000000000000006E-3</v>
          </cell>
          <cell r="AU67">
            <v>-3.3599999999999998E-2</v>
          </cell>
          <cell r="AV67">
            <v>-0.7</v>
          </cell>
        </row>
        <row r="68">
          <cell r="Q68">
            <v>46142</v>
          </cell>
          <cell r="R68">
            <v>0</v>
          </cell>
          <cell r="S68">
            <v>9.7500000000000003E-2</v>
          </cell>
          <cell r="T68">
            <v>-4.6800000000000001E-2</v>
          </cell>
          <cell r="U68">
            <v>8.6799999999999988E-2</v>
          </cell>
          <cell r="V68">
            <v>0.621</v>
          </cell>
          <cell r="W68">
            <v>0.14559999999999998</v>
          </cell>
          <cell r="X68">
            <v>0.18700000000000003</v>
          </cell>
          <cell r="Y68">
            <v>0.26400000000000001</v>
          </cell>
          <cell r="Z68">
            <v>1.2</v>
          </cell>
          <cell r="AM68">
            <v>46142</v>
          </cell>
          <cell r="AN68">
            <v>0</v>
          </cell>
          <cell r="AO68">
            <v>-1.95E-2</v>
          </cell>
          <cell r="AP68">
            <v>-2.3400000000000001E-2</v>
          </cell>
          <cell r="AQ68">
            <v>0</v>
          </cell>
          <cell r="AR68">
            <v>0.47250000000000003</v>
          </cell>
          <cell r="AS68">
            <v>5.5999999999999994E-2</v>
          </cell>
          <cell r="AT68">
            <v>2.5500000000000002E-2</v>
          </cell>
          <cell r="AU68">
            <v>-1.2E-2</v>
          </cell>
          <cell r="AV68">
            <v>0.3</v>
          </cell>
        </row>
        <row r="69">
          <cell r="Q69">
            <v>46173</v>
          </cell>
          <cell r="R69">
            <v>0</v>
          </cell>
          <cell r="S69">
            <v>9.0999999999999998E-2</v>
          </cell>
          <cell r="T69">
            <v>-4.6800000000000001E-2</v>
          </cell>
          <cell r="U69">
            <v>0.1116</v>
          </cell>
          <cell r="V69">
            <v>0.72900000000000009</v>
          </cell>
          <cell r="W69">
            <v>0.14559999999999998</v>
          </cell>
          <cell r="X69">
            <v>0.17850000000000002</v>
          </cell>
          <cell r="Y69">
            <v>0.23760000000000001</v>
          </cell>
          <cell r="Z69">
            <v>1.2</v>
          </cell>
          <cell r="AM69">
            <v>46173</v>
          </cell>
          <cell r="AN69">
            <v>0</v>
          </cell>
          <cell r="AO69">
            <v>3.9E-2</v>
          </cell>
          <cell r="AP69">
            <v>-2.3400000000000001E-2</v>
          </cell>
          <cell r="AQ69">
            <v>-2.4800000000000003E-2</v>
          </cell>
          <cell r="AR69">
            <v>-4.0500000000000001E-2</v>
          </cell>
          <cell r="AS69">
            <v>0</v>
          </cell>
          <cell r="AT69">
            <v>0</v>
          </cell>
          <cell r="AU69">
            <v>-9.6000000000000009E-3</v>
          </cell>
          <cell r="AV69">
            <v>-0.1</v>
          </cell>
        </row>
        <row r="70">
          <cell r="Q70">
            <v>46203</v>
          </cell>
          <cell r="R70">
            <v>0</v>
          </cell>
          <cell r="S70">
            <v>9.0999999999999998E-2</v>
          </cell>
          <cell r="T70">
            <v>-7.0199999999999999E-2</v>
          </cell>
          <cell r="U70">
            <v>8.0600000000000005E-2</v>
          </cell>
          <cell r="V70">
            <v>0.55349999999999999</v>
          </cell>
          <cell r="W70">
            <v>0.15679999999999997</v>
          </cell>
          <cell r="X70">
            <v>0.19550000000000001</v>
          </cell>
          <cell r="Y70">
            <v>0.15839999999999999</v>
          </cell>
          <cell r="Z70">
            <v>1</v>
          </cell>
          <cell r="AM70">
            <v>46203</v>
          </cell>
          <cell r="AN70">
            <v>0</v>
          </cell>
          <cell r="AO70">
            <v>-6.5000000000000006E-3</v>
          </cell>
          <cell r="AP70">
            <v>0</v>
          </cell>
          <cell r="AQ70">
            <v>-1.2400000000000001E-2</v>
          </cell>
          <cell r="AR70">
            <v>-0.17550000000000002</v>
          </cell>
          <cell r="AS70">
            <v>0</v>
          </cell>
          <cell r="AT70">
            <v>1.7000000000000001E-2</v>
          </cell>
          <cell r="AU70">
            <v>-6.480000000000001E-2</v>
          </cell>
          <cell r="AV70">
            <v>-0.3</v>
          </cell>
        </row>
      </sheetData>
      <sheetData sheetId="6">
        <row r="95">
          <cell r="D95" t="str">
            <v>中游制造</v>
          </cell>
          <cell r="E95" t="str">
            <v>上游材料</v>
          </cell>
          <cell r="F95" t="str">
            <v>公用事业</v>
          </cell>
          <cell r="G95" t="str">
            <v>下游消费</v>
          </cell>
          <cell r="H95" t="str">
            <v>上游采矿</v>
          </cell>
          <cell r="I95" t="str">
            <v>PPI当月同比</v>
          </cell>
          <cell r="K95" t="str">
            <v>中游制造</v>
          </cell>
          <cell r="L95" t="str">
            <v>上游材料</v>
          </cell>
          <cell r="M95" t="str">
            <v>公用事业</v>
          </cell>
          <cell r="N95" t="str">
            <v>下游消费</v>
          </cell>
          <cell r="O95" t="str">
            <v>上游采矿</v>
          </cell>
          <cell r="P95" t="str">
            <v>PPI环比</v>
          </cell>
        </row>
        <row r="96">
          <cell r="C96">
            <v>44227</v>
          </cell>
          <cell r="D96">
            <v>-0.28647318938406896</v>
          </cell>
          <cell r="E96">
            <v>0.80652790217991721</v>
          </cell>
          <cell r="F96">
            <v>-0.12955584183310132</v>
          </cell>
          <cell r="G96">
            <v>0.17542008166003312</v>
          </cell>
          <cell r="H96">
            <v>-2.4431788025034862E-2</v>
          </cell>
          <cell r="I96">
            <v>0.3</v>
          </cell>
          <cell r="J96">
            <v>44227</v>
          </cell>
          <cell r="K96">
            <v>-1.7754542764860669E-2</v>
          </cell>
          <cell r="L96">
            <v>0.7314439487956943</v>
          </cell>
          <cell r="M96">
            <v>2.4316374444828197E-2</v>
          </cell>
          <cell r="N96">
            <v>0.10634092792617311</v>
          </cell>
          <cell r="O96">
            <v>0.23056671342025589</v>
          </cell>
          <cell r="P96">
            <v>1</v>
          </cell>
        </row>
        <row r="97">
          <cell r="C97">
            <v>44255</v>
          </cell>
          <cell r="D97">
            <v>-0.35548732751004741</v>
          </cell>
          <cell r="E97">
            <v>1.9755943610859545</v>
          </cell>
          <cell r="F97">
            <v>-9.4147455570546393E-2</v>
          </cell>
          <cell r="G97">
            <v>0.24668609726543331</v>
          </cell>
          <cell r="H97">
            <v>0.11818672012086487</v>
          </cell>
          <cell r="I97">
            <v>1.7</v>
          </cell>
          <cell r="J97">
            <v>44255</v>
          </cell>
          <cell r="K97">
            <v>-5.9117531579780655E-2</v>
          </cell>
          <cell r="L97">
            <v>0.67213616129869047</v>
          </cell>
          <cell r="M97">
            <v>7.7908624545697741E-3</v>
          </cell>
          <cell r="N97">
            <v>0.10667028233294927</v>
          </cell>
          <cell r="O97">
            <v>0.11706156178328751</v>
          </cell>
          <cell r="P97">
            <v>0.8</v>
          </cell>
        </row>
        <row r="98">
          <cell r="C98">
            <v>44286</v>
          </cell>
          <cell r="D98">
            <v>-0.30075732951481621</v>
          </cell>
          <cell r="E98">
            <v>4.5000929425103786</v>
          </cell>
          <cell r="F98">
            <v>-3.776350884955073E-2</v>
          </cell>
          <cell r="G98">
            <v>0.36301302618452708</v>
          </cell>
          <cell r="H98">
            <v>0.36695332758045013</v>
          </cell>
          <cell r="I98">
            <v>4.4000000000000004</v>
          </cell>
          <cell r="J98">
            <v>44286</v>
          </cell>
          <cell r="K98">
            <v>7.2552169882619894E-2</v>
          </cell>
          <cell r="L98">
            <v>1.4002663196131189</v>
          </cell>
          <cell r="M98">
            <v>-1.239297923385908E-3</v>
          </cell>
          <cell r="N98">
            <v>0.11052807701577574</v>
          </cell>
          <cell r="O98">
            <v>2.3652030408162356E-2</v>
          </cell>
          <cell r="P98">
            <v>1.6</v>
          </cell>
        </row>
        <row r="99">
          <cell r="C99">
            <v>44316</v>
          </cell>
          <cell r="D99">
            <v>-0.23595969820769935</v>
          </cell>
          <cell r="E99">
            <v>6.6748075492353447</v>
          </cell>
          <cell r="F99">
            <v>-9.1404264192450693E-3</v>
          </cell>
          <cell r="G99">
            <v>0.41699158769467931</v>
          </cell>
          <cell r="H99">
            <v>0.83458706484699152</v>
          </cell>
          <cell r="I99">
            <v>6.8</v>
          </cell>
          <cell r="J99">
            <v>44316</v>
          </cell>
          <cell r="K99">
            <v>0.10533993677786686</v>
          </cell>
          <cell r="L99">
            <v>0.81399777068167423</v>
          </cell>
          <cell r="M99">
            <v>-4.7924908578817239E-2</v>
          </cell>
          <cell r="N99">
            <v>-1.4008131285359058E-2</v>
          </cell>
          <cell r="O99">
            <v>8.023787516382401E-2</v>
          </cell>
          <cell r="P99">
            <v>0.9</v>
          </cell>
        </row>
        <row r="100">
          <cell r="C100">
            <v>44347</v>
          </cell>
          <cell r="D100">
            <v>-0.12136732018103481</v>
          </cell>
          <cell r="E100">
            <v>8.4289605641908878</v>
          </cell>
          <cell r="F100">
            <v>-1.0765634003258525E-2</v>
          </cell>
          <cell r="G100">
            <v>0.52794227636653057</v>
          </cell>
          <cell r="H100">
            <v>0.9803188178500708</v>
          </cell>
          <cell r="I100">
            <v>9</v>
          </cell>
          <cell r="J100">
            <v>44347</v>
          </cell>
          <cell r="K100">
            <v>8.4761871165200328E-2</v>
          </cell>
          <cell r="L100">
            <v>1.2262138720136848</v>
          </cell>
          <cell r="M100">
            <v>-3.3258343473637673E-2</v>
          </cell>
          <cell r="N100">
            <v>2.8364011480085979E-2</v>
          </cell>
          <cell r="O100">
            <v>0.29313177911244503</v>
          </cell>
          <cell r="P100">
            <v>1.6</v>
          </cell>
        </row>
        <row r="101">
          <cell r="C101">
            <v>44377</v>
          </cell>
          <cell r="D101">
            <v>-4.6328252004169894E-2</v>
          </cell>
          <cell r="E101">
            <v>8.047856721949465</v>
          </cell>
          <cell r="F101">
            <v>-1.1391905372594432E-2</v>
          </cell>
          <cell r="G101">
            <v>0.48503507743775143</v>
          </cell>
          <cell r="H101">
            <v>0.67777366814923012</v>
          </cell>
          <cell r="I101">
            <v>8.8000000000000007</v>
          </cell>
          <cell r="J101">
            <v>44377</v>
          </cell>
          <cell r="K101">
            <v>6.184037127333409E-2</v>
          </cell>
          <cell r="L101">
            <v>0.12490579343151906</v>
          </cell>
          <cell r="M101">
            <v>-3.0631992205732348E-2</v>
          </cell>
          <cell r="N101">
            <v>-5.7275060686336442E-2</v>
          </cell>
          <cell r="O101">
            <v>0.16500439007083137</v>
          </cell>
          <cell r="P101">
            <v>0.3</v>
          </cell>
        </row>
        <row r="102">
          <cell r="C102">
            <v>44408</v>
          </cell>
          <cell r="D102">
            <v>8.1188336213910556E-2</v>
          </cell>
          <cell r="E102">
            <v>7.7760066508093386</v>
          </cell>
          <cell r="F102">
            <v>1.9240086833137909E-2</v>
          </cell>
          <cell r="G102">
            <v>0.46530339526704206</v>
          </cell>
          <cell r="H102">
            <v>0.64272787293820088</v>
          </cell>
          <cell r="I102">
            <v>9</v>
          </cell>
          <cell r="J102">
            <v>44408</v>
          </cell>
          <cell r="K102">
            <v>0.10517162450108644</v>
          </cell>
          <cell r="L102">
            <v>0.12116060760767364</v>
          </cell>
          <cell r="M102">
            <v>2.0067023062123736E-3</v>
          </cell>
          <cell r="N102">
            <v>1.601161315716533E-2</v>
          </cell>
          <cell r="O102">
            <v>0.20805960330156181</v>
          </cell>
          <cell r="P102">
            <v>0.5</v>
          </cell>
        </row>
        <row r="103">
          <cell r="C103">
            <v>44439</v>
          </cell>
          <cell r="D103">
            <v>0.16853778882760836</v>
          </cell>
          <cell r="E103">
            <v>8.0183743721911895</v>
          </cell>
          <cell r="F103">
            <v>3.8925615173062728E-2</v>
          </cell>
          <cell r="G103">
            <v>0.47082539830505682</v>
          </cell>
          <cell r="H103">
            <v>0.55013940194943256</v>
          </cell>
          <cell r="I103">
            <v>9.5</v>
          </cell>
          <cell r="J103">
            <v>44439</v>
          </cell>
          <cell r="K103">
            <v>3.5918830486892192E-2</v>
          </cell>
          <cell r="L103">
            <v>0.45978259640079822</v>
          </cell>
          <cell r="M103">
            <v>-1.2571671449820989E-2</v>
          </cell>
          <cell r="N103">
            <v>2.3427751535987695E-2</v>
          </cell>
          <cell r="O103">
            <v>0.13452529223159568</v>
          </cell>
          <cell r="P103">
            <v>0.7</v>
          </cell>
        </row>
        <row r="104">
          <cell r="C104">
            <v>44469</v>
          </cell>
          <cell r="D104">
            <v>0.28976468711175596</v>
          </cell>
          <cell r="E104">
            <v>8.7690449664271863</v>
          </cell>
          <cell r="F104">
            <v>0.10505859992892484</v>
          </cell>
          <cell r="G104">
            <v>0.4782133229715122</v>
          </cell>
          <cell r="H104">
            <v>0.49264929401643393</v>
          </cell>
          <cell r="I104">
            <v>10.7</v>
          </cell>
          <cell r="J104">
            <v>44469</v>
          </cell>
          <cell r="K104">
            <v>2.8063608757136718E-2</v>
          </cell>
          <cell r="L104">
            <v>0.7977544387828559</v>
          </cell>
          <cell r="M104">
            <v>5.4712419880280833E-2</v>
          </cell>
          <cell r="N104">
            <v>8.3229538417327956E-3</v>
          </cell>
          <cell r="O104">
            <v>0.22984765744709718</v>
          </cell>
          <cell r="P104">
            <v>1.2</v>
          </cell>
        </row>
        <row r="105">
          <cell r="C105">
            <v>44500</v>
          </cell>
          <cell r="D105">
            <v>0.34840365118200955</v>
          </cell>
          <cell r="E105">
            <v>10.956911795040812</v>
          </cell>
          <cell r="F105">
            <v>0.15929471133021758</v>
          </cell>
          <cell r="G105">
            <v>0.55049329847257844</v>
          </cell>
          <cell r="H105">
            <v>0.56211456473041466</v>
          </cell>
          <cell r="I105">
            <v>13.5</v>
          </cell>
          <cell r="J105">
            <v>44500</v>
          </cell>
          <cell r="K105">
            <v>4.1430617937447969E-2</v>
          </cell>
          <cell r="L105">
            <v>1.7651881900805226</v>
          </cell>
          <cell r="M105">
            <v>5.0079366306163123E-2</v>
          </cell>
          <cell r="N105">
            <v>8.0611979429480618E-2</v>
          </cell>
          <cell r="O105">
            <v>0.4599792545158401</v>
          </cell>
          <cell r="P105">
            <v>2.5</v>
          </cell>
        </row>
        <row r="106">
          <cell r="C106">
            <v>44530</v>
          </cell>
          <cell r="D106">
            <v>0.3957873344998295</v>
          </cell>
          <cell r="E106">
            <v>10.030116158748768</v>
          </cell>
          <cell r="F106">
            <v>0.29209655339291718</v>
          </cell>
          <cell r="G106">
            <v>0.66427775780552256</v>
          </cell>
          <cell r="H106">
            <v>0.59614221713331039</v>
          </cell>
          <cell r="I106">
            <v>12.9</v>
          </cell>
          <cell r="J106">
            <v>44530</v>
          </cell>
          <cell r="K106">
            <v>-4.0469388089856041E-3</v>
          </cell>
          <cell r="L106">
            <v>-0.18290688913115311</v>
          </cell>
          <cell r="M106">
            <v>0.18187344227732788</v>
          </cell>
          <cell r="N106">
            <v>0.16796084445891551</v>
          </cell>
          <cell r="O106">
            <v>-8.6054063488382904E-2</v>
          </cell>
          <cell r="P106">
            <v>0</v>
          </cell>
        </row>
        <row r="107">
          <cell r="C107">
            <v>44561</v>
          </cell>
          <cell r="D107">
            <v>0.38902179154527688</v>
          </cell>
          <cell r="E107">
            <v>7.4983614498490221</v>
          </cell>
          <cell r="F107">
            <v>0.486685007602771</v>
          </cell>
          <cell r="G107">
            <v>0.59878634416791099</v>
          </cell>
          <cell r="H107">
            <v>0.37870965765418035</v>
          </cell>
          <cell r="I107">
            <v>10.3</v>
          </cell>
          <cell r="J107">
            <v>44561</v>
          </cell>
          <cell r="K107">
            <v>-5.8027852804577812E-2</v>
          </cell>
          <cell r="L107">
            <v>-0.98535279939483311</v>
          </cell>
          <cell r="M107">
            <v>0.2753924190093241</v>
          </cell>
          <cell r="N107">
            <v>3.663043262604691E-3</v>
          </cell>
          <cell r="O107">
            <v>-0.2688421048402645</v>
          </cell>
          <cell r="P107">
            <v>-1.2</v>
          </cell>
        </row>
        <row r="108">
          <cell r="C108">
            <v>44592</v>
          </cell>
          <cell r="D108">
            <v>0.37177615583276041</v>
          </cell>
          <cell r="E108">
            <v>6.2566852109477455</v>
          </cell>
          <cell r="F108">
            <v>0.67655000942014643</v>
          </cell>
          <cell r="G108">
            <v>0.47773887821957367</v>
          </cell>
          <cell r="H108">
            <v>0.30576986799366324</v>
          </cell>
          <cell r="I108">
            <v>9.1</v>
          </cell>
          <cell r="J108">
            <v>44592</v>
          </cell>
          <cell r="K108">
            <v>-3.9422287152730051E-2</v>
          </cell>
          <cell r="L108">
            <v>-0.3032399632578297</v>
          </cell>
          <cell r="M108">
            <v>0.20022927387550632</v>
          </cell>
          <cell r="N108">
            <v>-9.5493259855294645E-3</v>
          </cell>
          <cell r="O108">
            <v>-5.1974673592913724E-2</v>
          </cell>
          <cell r="P108">
            <v>-0.2</v>
          </cell>
        </row>
        <row r="109">
          <cell r="C109">
            <v>44620</v>
          </cell>
          <cell r="D109">
            <v>0.41477078450695193</v>
          </cell>
          <cell r="E109">
            <v>5.9697724290446619</v>
          </cell>
          <cell r="F109">
            <v>0.73967956312433292</v>
          </cell>
          <cell r="G109">
            <v>0.41119265093001417</v>
          </cell>
          <cell r="H109">
            <v>0.3318563394933397</v>
          </cell>
          <cell r="I109">
            <v>8.8000000000000007</v>
          </cell>
          <cell r="J109">
            <v>44620</v>
          </cell>
          <cell r="K109">
            <v>-2.9422282963372414E-2</v>
          </cell>
          <cell r="L109">
            <v>0.42094400707610435</v>
          </cell>
          <cell r="M109">
            <v>6.4657740062196489E-2</v>
          </cell>
          <cell r="N109">
            <v>3.0767223595931686E-2</v>
          </cell>
          <cell r="O109">
            <v>4.6379194592987318E-2</v>
          </cell>
          <cell r="P109">
            <v>0.5</v>
          </cell>
        </row>
        <row r="110">
          <cell r="C110">
            <v>44651</v>
          </cell>
          <cell r="D110">
            <v>0.32061849935899067</v>
          </cell>
          <cell r="E110">
            <v>5.2788134570459944</v>
          </cell>
          <cell r="F110">
            <v>0.81369160168391097</v>
          </cell>
          <cell r="G110">
            <v>0.38687702627278292</v>
          </cell>
          <cell r="H110">
            <v>0.37068647383497483</v>
          </cell>
          <cell r="I110">
            <v>8.3000000000000007</v>
          </cell>
          <cell r="J110">
            <v>44651</v>
          </cell>
          <cell r="K110">
            <v>-8.3007352075581253E-3</v>
          </cell>
          <cell r="L110">
            <v>0.76113943266064665</v>
          </cell>
          <cell r="M110">
            <v>6.6752633717555063E-2</v>
          </cell>
          <cell r="N110">
            <v>9.3263713800445486E-2</v>
          </cell>
          <cell r="O110">
            <v>0.17915324402747182</v>
          </cell>
          <cell r="P110">
            <v>1.1000000000000001</v>
          </cell>
        </row>
        <row r="111">
          <cell r="C111">
            <v>44681</v>
          </cell>
          <cell r="D111">
            <v>0.20207986567759295</v>
          </cell>
          <cell r="E111">
            <v>4.9485302428277365</v>
          </cell>
          <cell r="F111">
            <v>0.90228201399952257</v>
          </cell>
          <cell r="G111">
            <v>0.4720230679780959</v>
          </cell>
          <cell r="H111">
            <v>0.38934436778624171</v>
          </cell>
          <cell r="I111">
            <v>8</v>
          </cell>
          <cell r="J111">
            <v>44681</v>
          </cell>
          <cell r="K111">
            <v>-4.4221086753529378E-3</v>
          </cell>
          <cell r="L111">
            <v>0.4389260115507464</v>
          </cell>
          <cell r="M111">
            <v>3.2638694511944719E-2</v>
          </cell>
          <cell r="N111">
            <v>7.2070663377584082E-2</v>
          </cell>
          <cell r="O111">
            <v>9.0343770201230189E-2</v>
          </cell>
          <cell r="P111">
            <v>0.6</v>
          </cell>
        </row>
        <row r="112">
          <cell r="C112">
            <v>44712</v>
          </cell>
          <cell r="D112">
            <v>0.22711309399733692</v>
          </cell>
          <cell r="E112">
            <v>3.5557593231656619</v>
          </cell>
          <cell r="F112">
            <v>0.94457272532033021</v>
          </cell>
          <cell r="G112">
            <v>0.50679564187785431</v>
          </cell>
          <cell r="H112">
            <v>0.348805717798575</v>
          </cell>
          <cell r="I112">
            <v>6.4</v>
          </cell>
          <cell r="J112">
            <v>44712</v>
          </cell>
          <cell r="K112">
            <v>0.10979509948494426</v>
          </cell>
          <cell r="L112">
            <v>-5.3359756865151403E-2</v>
          </cell>
          <cell r="M112">
            <v>7.4071602631565403E-3</v>
          </cell>
          <cell r="N112">
            <v>6.3618570975522329E-2</v>
          </cell>
          <cell r="O112">
            <v>-9.6380866576360556E-3</v>
          </cell>
          <cell r="P112">
            <v>0.1</v>
          </cell>
        </row>
        <row r="113">
          <cell r="C113">
            <v>44742</v>
          </cell>
          <cell r="D113">
            <v>0.20248259829460274</v>
          </cell>
          <cell r="E113">
            <v>3.1541704727607378</v>
          </cell>
          <cell r="F113">
            <v>0.93401437858436465</v>
          </cell>
          <cell r="G113">
            <v>0.63339368550584607</v>
          </cell>
          <cell r="H113">
            <v>0.36145918162230645</v>
          </cell>
          <cell r="I113">
            <v>6.1</v>
          </cell>
          <cell r="J113">
            <v>44742</v>
          </cell>
          <cell r="K113">
            <v>2.5576710462891682E-2</v>
          </cell>
          <cell r="L113">
            <v>-0.26867670255574772</v>
          </cell>
          <cell r="M113">
            <v>-4.004585477510126E-2</v>
          </cell>
          <cell r="N113">
            <v>6.895668914249875E-2</v>
          </cell>
          <cell r="O113">
            <v>5.9456957631984282E-2</v>
          </cell>
          <cell r="P113">
            <v>0</v>
          </cell>
        </row>
        <row r="114">
          <cell r="C114">
            <v>44773</v>
          </cell>
          <cell r="D114">
            <v>9.1121967013835875E-2</v>
          </cell>
          <cell r="E114">
            <v>1.6883188055183205</v>
          </cell>
          <cell r="F114">
            <v>0.83409159274231814</v>
          </cell>
          <cell r="G114">
            <v>0.65326428033050066</v>
          </cell>
          <cell r="H114">
            <v>0.24546954647980038</v>
          </cell>
          <cell r="I114">
            <v>4.2</v>
          </cell>
          <cell r="J114">
            <v>44773</v>
          </cell>
          <cell r="K114">
            <v>-2.1053918633286307E-2</v>
          </cell>
          <cell r="L114">
            <v>-1.2506527089014858</v>
          </cell>
          <cell r="M114">
            <v>-8.9505572119571442E-2</v>
          </cell>
          <cell r="N114">
            <v>2.7736482229265908E-2</v>
          </cell>
          <cell r="O114">
            <v>-8.7660411443687969E-2</v>
          </cell>
          <cell r="P114">
            <v>-1.3</v>
          </cell>
        </row>
        <row r="115">
          <cell r="C115">
            <v>44804</v>
          </cell>
          <cell r="D115">
            <v>-6.6702887781148745E-3</v>
          </cell>
          <cell r="E115">
            <v>0.10802104509842411</v>
          </cell>
          <cell r="F115">
            <v>0.87265999535453931</v>
          </cell>
          <cell r="G115">
            <v>0.57532017514823419</v>
          </cell>
          <cell r="H115">
            <v>0.15682241455861509</v>
          </cell>
          <cell r="I115">
            <v>2.2999999999999998</v>
          </cell>
          <cell r="J115">
            <v>44804</v>
          </cell>
          <cell r="K115">
            <v>-4.4151936571922339E-2</v>
          </cell>
          <cell r="L115">
            <v>-1.062255531243794</v>
          </cell>
          <cell r="M115">
            <v>2.222148078946962E-2</v>
          </cell>
          <cell r="N115">
            <v>-4.5820825191522661E-2</v>
          </cell>
          <cell r="O115">
            <v>-0.18161786568105187</v>
          </cell>
          <cell r="P115">
            <v>-1.2</v>
          </cell>
        </row>
        <row r="116">
          <cell r="C116">
            <v>44834</v>
          </cell>
          <cell r="D116">
            <v>-1.1467567319835146E-2</v>
          </cell>
          <cell r="E116">
            <v>-0.96209107532442451</v>
          </cell>
          <cell r="F116">
            <v>0.91725071235461209</v>
          </cell>
          <cell r="G116">
            <v>0.56928930050628601</v>
          </cell>
          <cell r="H116">
            <v>0.14574232522303415</v>
          </cell>
          <cell r="I116">
            <v>0.9</v>
          </cell>
          <cell r="J116">
            <v>44834</v>
          </cell>
          <cell r="K116">
            <v>1.1903619294552775E-3</v>
          </cell>
          <cell r="L116">
            <v>-0.2999366977319709</v>
          </cell>
          <cell r="M116">
            <v>0.10231319033967214</v>
          </cell>
          <cell r="N116">
            <v>6.4024126575060224E-3</v>
          </cell>
          <cell r="O116">
            <v>-2.7427883404075648E-2</v>
          </cell>
          <cell r="P116">
            <v>-0.1</v>
          </cell>
        </row>
        <row r="117">
          <cell r="C117">
            <v>44865</v>
          </cell>
          <cell r="D117">
            <v>7.4550773838269357E-2</v>
          </cell>
          <cell r="E117">
            <v>-2.6392705432482906</v>
          </cell>
          <cell r="F117">
            <v>0.83137925759448084</v>
          </cell>
          <cell r="G117">
            <v>0.57685734177029857</v>
          </cell>
          <cell r="H117">
            <v>9.797968335567464E-2</v>
          </cell>
          <cell r="I117">
            <v>-1.3</v>
          </cell>
          <cell r="J117">
            <v>44865</v>
          </cell>
          <cell r="K117">
            <v>0.1186723708673746</v>
          </cell>
          <cell r="L117">
            <v>-1.5156149551087225E-2</v>
          </cell>
          <cell r="M117">
            <v>-2.66185875933076E-2</v>
          </cell>
          <cell r="N117">
            <v>7.5339241022241488E-2</v>
          </cell>
          <cell r="O117">
            <v>4.9539614839697273E-2</v>
          </cell>
          <cell r="P117">
            <v>0.2</v>
          </cell>
        </row>
        <row r="118">
          <cell r="C118">
            <v>44895</v>
          </cell>
          <cell r="D118">
            <v>0.13679387772861321</v>
          </cell>
          <cell r="E118">
            <v>-2.6898189446640743</v>
          </cell>
          <cell r="F118">
            <v>0.69958518162331607</v>
          </cell>
          <cell r="G118">
            <v>0.43232860255672623</v>
          </cell>
          <cell r="H118">
            <v>7.5076806769778529E-2</v>
          </cell>
          <cell r="I118">
            <v>-1.3</v>
          </cell>
          <cell r="J118">
            <v>44895</v>
          </cell>
          <cell r="K118">
            <v>5.098510864900295E-2</v>
          </cell>
          <cell r="L118">
            <v>-0.1855199955837725</v>
          </cell>
          <cell r="M118">
            <v>5.3089419765481691E-2</v>
          </cell>
          <cell r="N118">
            <v>2.9336206702733736E-2</v>
          </cell>
          <cell r="O118">
            <v>2.699796722699898E-2</v>
          </cell>
          <cell r="P118">
            <v>0.1</v>
          </cell>
        </row>
        <row r="119">
          <cell r="C119">
            <v>44926</v>
          </cell>
          <cell r="D119">
            <v>0.16277881208959671</v>
          </cell>
          <cell r="E119">
            <v>-1.9426160439442559</v>
          </cell>
          <cell r="F119">
            <v>0.46509862805949448</v>
          </cell>
          <cell r="G119">
            <v>0.35056818592575434</v>
          </cell>
          <cell r="H119">
            <v>0.10136877270651978</v>
          </cell>
          <cell r="I119">
            <v>-0.7</v>
          </cell>
          <cell r="J119">
            <v>44926</v>
          </cell>
          <cell r="K119">
            <v>-3.646502711894728E-2</v>
          </cell>
          <cell r="L119">
            <v>-0.17990333454713703</v>
          </cell>
          <cell r="M119">
            <v>5.9493228875532038E-2</v>
          </cell>
          <cell r="N119">
            <v>-7.5185442184173792E-2</v>
          </cell>
          <cell r="O119">
            <v>-3.3295369875753655E-2</v>
          </cell>
          <cell r="P119">
            <v>-0.5</v>
          </cell>
        </row>
        <row r="120">
          <cell r="C120">
            <v>44957</v>
          </cell>
          <cell r="D120">
            <v>1.7132511240288223E-2</v>
          </cell>
          <cell r="E120">
            <v>-1.8541241663943671</v>
          </cell>
          <cell r="F120">
            <v>0.29622022404663129</v>
          </cell>
          <cell r="G120">
            <v>0.27748861566232585</v>
          </cell>
          <cell r="H120">
            <v>4.4848734165718593E-2</v>
          </cell>
          <cell r="I120">
            <v>-0.8</v>
          </cell>
          <cell r="J120">
            <v>44957</v>
          </cell>
          <cell r="K120">
            <v>-0.17176920794425521</v>
          </cell>
          <cell r="L120">
            <v>-0.17402377735450467</v>
          </cell>
          <cell r="M120">
            <v>3.3258343473637673E-2</v>
          </cell>
          <cell r="N120">
            <v>-7.6673017553805914E-2</v>
          </cell>
          <cell r="O120">
            <v>-3.3646093229040955E-2</v>
          </cell>
          <cell r="P120">
            <v>-0.4</v>
          </cell>
        </row>
        <row r="121">
          <cell r="C121">
            <v>44985</v>
          </cell>
          <cell r="D121">
            <v>-0.12613578023901703</v>
          </cell>
          <cell r="E121">
            <v>-2.1121148262967182</v>
          </cell>
          <cell r="F121">
            <v>0.30663523029989215</v>
          </cell>
          <cell r="G121">
            <v>0.20057673704919968</v>
          </cell>
          <cell r="H121">
            <v>-1.5724710907737006E-2</v>
          </cell>
          <cell r="I121">
            <v>-1.4</v>
          </cell>
          <cell r="J121">
            <v>44985</v>
          </cell>
          <cell r="K121">
            <v>-0.16391398621449976</v>
          </cell>
          <cell r="L121">
            <v>0.17047772996025873</v>
          </cell>
          <cell r="M121">
            <v>7.3687900440152165E-2</v>
          </cell>
          <cell r="N121">
            <v>-4.3158725812676574E-2</v>
          </cell>
          <cell r="O121">
            <v>-1.3028156747845064E-2</v>
          </cell>
          <cell r="P121">
            <v>0</v>
          </cell>
        </row>
        <row r="122">
          <cell r="C122">
            <v>45016</v>
          </cell>
          <cell r="D122">
            <v>-7.1747898078428657E-2</v>
          </cell>
          <cell r="E122">
            <v>-2.7669865631510051</v>
          </cell>
          <cell r="F122">
            <v>0.20963430656801796</v>
          </cell>
          <cell r="G122">
            <v>6.8984572003032096E-2</v>
          </cell>
          <cell r="H122">
            <v>-0.11502191179058288</v>
          </cell>
          <cell r="I122">
            <v>-2.5</v>
          </cell>
          <cell r="J122">
            <v>45016</v>
          </cell>
          <cell r="K122">
            <v>4.1665038277677313E-2</v>
          </cell>
          <cell r="L122">
            <v>6.0837012600868039E-2</v>
          </cell>
          <cell r="M122">
            <v>-2.8241587708106738E-2</v>
          </cell>
          <cell r="N122">
            <v>-3.3085652781033627E-2</v>
          </cell>
          <cell r="O122">
            <v>-2.0088848541197454E-2</v>
          </cell>
          <cell r="P122">
            <v>0</v>
          </cell>
        </row>
        <row r="123">
          <cell r="C123">
            <v>45046</v>
          </cell>
          <cell r="D123">
            <v>-0.17695257661123956</v>
          </cell>
          <cell r="E123">
            <v>-3.4027117486377678</v>
          </cell>
          <cell r="F123">
            <v>0.13408745924278692</v>
          </cell>
          <cell r="G123">
            <v>-9.1841464480837451E-2</v>
          </cell>
          <cell r="H123">
            <v>-0.14504509902572621</v>
          </cell>
          <cell r="I123">
            <v>-3.6</v>
          </cell>
          <cell r="J123">
            <v>45046</v>
          </cell>
          <cell r="K123">
            <v>-0.11564748171106384</v>
          </cell>
          <cell r="L123">
            <v>-0.25646132200808885</v>
          </cell>
          <cell r="M123">
            <v>-4.1904801660180124E-2</v>
          </cell>
          <cell r="N123">
            <v>-9.1174181448662892E-2</v>
          </cell>
          <cell r="O123">
            <v>-8.7715416635215135E-2</v>
          </cell>
          <cell r="P123">
            <v>-0.5</v>
          </cell>
        </row>
        <row r="124">
          <cell r="C124">
            <v>45077</v>
          </cell>
          <cell r="D124">
            <v>-0.33532172134345906</v>
          </cell>
          <cell r="E124">
            <v>-4.0286319294942716</v>
          </cell>
          <cell r="F124">
            <v>0.11602713848687556</v>
          </cell>
          <cell r="G124">
            <v>-0.21172633319888359</v>
          </cell>
          <cell r="H124">
            <v>-0.18957096799222276</v>
          </cell>
          <cell r="I124">
            <v>-4.5999999999999996</v>
          </cell>
          <cell r="J124">
            <v>45077</v>
          </cell>
          <cell r="K124">
            <v>-6.1873425305058544E-2</v>
          </cell>
          <cell r="L124">
            <v>-0.7658192856563022</v>
          </cell>
          <cell r="M124">
            <v>-1.0653160492754818E-2</v>
          </cell>
          <cell r="N124">
            <v>-4.978343223135575E-2</v>
          </cell>
          <cell r="O124">
            <v>-0.15209590930603598</v>
          </cell>
          <cell r="P124">
            <v>-0.9</v>
          </cell>
        </row>
        <row r="125">
          <cell r="C125">
            <v>45107</v>
          </cell>
          <cell r="D125">
            <v>-0.3961054678733148</v>
          </cell>
          <cell r="E125">
            <v>-4.3602458093775036</v>
          </cell>
          <cell r="F125">
            <v>8.3150289735436797E-2</v>
          </cell>
          <cell r="G125">
            <v>-0.33384136563348121</v>
          </cell>
          <cell r="H125">
            <v>-0.23297343278037644</v>
          </cell>
          <cell r="I125">
            <v>-5.4</v>
          </cell>
          <cell r="J125">
            <v>45107</v>
          </cell>
          <cell r="K125">
            <v>-2.1907656009180751E-2</v>
          </cell>
          <cell r="L125">
            <v>-0.6607033119374961</v>
          </cell>
          <cell r="M125">
            <v>-7.3304198248738933E-2</v>
          </cell>
          <cell r="N125">
            <v>-5.8938604115274747E-2</v>
          </cell>
          <cell r="O125">
            <v>-0.15984906217093733</v>
          </cell>
          <cell r="P125">
            <v>-0.8</v>
          </cell>
        </row>
        <row r="126">
          <cell r="C126">
            <v>45138</v>
          </cell>
          <cell r="D126">
            <v>-0.37100461043104288</v>
          </cell>
          <cell r="E126">
            <v>-3.4123005641528628</v>
          </cell>
          <cell r="F126">
            <v>0.12319614451053806</v>
          </cell>
          <cell r="G126">
            <v>-0.34496538629191265</v>
          </cell>
          <cell r="H126">
            <v>-0.17449536797228141</v>
          </cell>
          <cell r="I126">
            <v>-4.4000000000000004</v>
          </cell>
          <cell r="J126">
            <v>45138</v>
          </cell>
          <cell r="K126">
            <v>1.7245635712516437E-2</v>
          </cell>
          <cell r="L126">
            <v>-0.20163114680410396</v>
          </cell>
          <cell r="M126">
            <v>-4.9459717344470175E-2</v>
          </cell>
          <cell r="N126">
            <v>1.5884196530242957E-2</v>
          </cell>
          <cell r="O126">
            <v>-1.4548636836198822E-2</v>
          </cell>
          <cell r="P126">
            <v>-0.2</v>
          </cell>
        </row>
        <row r="127">
          <cell r="C127">
            <v>45169</v>
          </cell>
          <cell r="D127">
            <v>-0.39324889099378446</v>
          </cell>
          <cell r="E127">
            <v>-2.2339045486659463</v>
          </cell>
          <cell r="F127">
            <v>0.11841754298450116</v>
          </cell>
          <cell r="G127">
            <v>-0.24215027760778354</v>
          </cell>
          <cell r="H127">
            <v>-5.6925459866055919E-2</v>
          </cell>
          <cell r="I127">
            <v>-3</v>
          </cell>
          <cell r="J127">
            <v>45169</v>
          </cell>
          <cell r="K127">
            <v>-5.9285843856561077E-2</v>
          </cell>
          <cell r="L127">
            <v>0.22837016016805811</v>
          </cell>
          <cell r="M127">
            <v>1.782437398563164E-2</v>
          </cell>
          <cell r="N127">
            <v>5.509760875655665E-2</v>
          </cell>
          <cell r="O127">
            <v>2.7552322364495795E-2</v>
          </cell>
          <cell r="P127">
            <v>0.2</v>
          </cell>
        </row>
        <row r="128">
          <cell r="C128">
            <v>45199</v>
          </cell>
          <cell r="D128">
            <v>-0.37828329598592614</v>
          </cell>
          <cell r="E128">
            <v>-1.675129583008206</v>
          </cell>
          <cell r="F128">
            <v>2.4896358783290662E-2</v>
          </cell>
          <cell r="G128">
            <v>-0.22105956244995392</v>
          </cell>
          <cell r="H128">
            <v>2.6381386164126504E-2</v>
          </cell>
          <cell r="I128">
            <v>-2.5</v>
          </cell>
          <cell r="J128">
            <v>45199</v>
          </cell>
          <cell r="K128">
            <v>3.9898140173349812E-2</v>
          </cell>
          <cell r="L128">
            <v>0.2939218994813908</v>
          </cell>
          <cell r="M128">
            <v>8.4105114162627264E-3</v>
          </cell>
          <cell r="N128">
            <v>3.2022846049560891E-2</v>
          </cell>
          <cell r="O128">
            <v>7.2847201634244768E-2</v>
          </cell>
          <cell r="P128">
            <v>0.4</v>
          </cell>
        </row>
        <row r="129">
          <cell r="C129">
            <v>45230</v>
          </cell>
          <cell r="D129">
            <v>-0.53066480024697005</v>
          </cell>
          <cell r="E129">
            <v>-1.5772081295752418</v>
          </cell>
          <cell r="F129">
            <v>4.8227133135239752E-3</v>
          </cell>
          <cell r="G129">
            <v>-0.30591560070699592</v>
          </cell>
          <cell r="H129">
            <v>7.6683985077250286E-2</v>
          </cell>
          <cell r="I129">
            <v>-2.6</v>
          </cell>
          <cell r="J129">
            <v>45230</v>
          </cell>
          <cell r="K129">
            <v>-5.1430622126805589E-2</v>
          </cell>
          <cell r="L129">
            <v>9.5153461057681077E-2</v>
          </cell>
          <cell r="M129">
            <v>-4.8840068382777213E-2</v>
          </cell>
          <cell r="N129">
            <v>-8.9275887901855942E-3</v>
          </cell>
          <cell r="O129">
            <v>0.10774347759715761</v>
          </cell>
          <cell r="P129">
            <v>0</v>
          </cell>
        </row>
        <row r="130">
          <cell r="C130">
            <v>45260</v>
          </cell>
          <cell r="D130">
            <v>-0.63634533180040087</v>
          </cell>
          <cell r="E130">
            <v>-1.5144731027180756</v>
          </cell>
          <cell r="F130">
            <v>-8.4925427983970125E-2</v>
          </cell>
          <cell r="G130">
            <v>-0.37517371735377264</v>
          </cell>
          <cell r="H130">
            <v>5.9533334992605401E-2</v>
          </cell>
          <cell r="I130">
            <v>-3</v>
          </cell>
          <cell r="J130">
            <v>45260</v>
          </cell>
          <cell r="K130">
            <v>-4.5818151521997391E-2</v>
          </cell>
          <cell r="L130">
            <v>-0.11464586430750118</v>
          </cell>
          <cell r="M130">
            <v>-3.7803205698609163E-2</v>
          </cell>
          <cell r="N130">
            <v>-4.507493047465605E-2</v>
          </cell>
          <cell r="O130">
            <v>-5.5650363344598823E-3</v>
          </cell>
          <cell r="P130">
            <v>-0.3</v>
          </cell>
        </row>
        <row r="131">
          <cell r="C131">
            <v>45291</v>
          </cell>
          <cell r="D131">
            <v>-0.65885860779417516</v>
          </cell>
          <cell r="E131">
            <v>-1.4832728262978139</v>
          </cell>
          <cell r="F131">
            <v>-7.0113314926871381E-2</v>
          </cell>
          <cell r="G131">
            <v>-0.36760369312714714</v>
          </cell>
          <cell r="H131">
            <v>7.7637516174545854E-2</v>
          </cell>
          <cell r="I131">
            <v>-2.7</v>
          </cell>
          <cell r="J131">
            <v>45291</v>
          </cell>
          <cell r="K131">
            <v>-6.3332782665546664E-2</v>
          </cell>
          <cell r="L131">
            <v>-0.15263896284567208</v>
          </cell>
          <cell r="M131">
            <v>8.2334358626694609E-2</v>
          </cell>
          <cell r="N131">
            <v>-6.5230220079524531E-2</v>
          </cell>
          <cell r="O131">
            <v>-3.3387528224320034E-2</v>
          </cell>
          <cell r="P131">
            <v>-0.3</v>
          </cell>
        </row>
        <row r="132">
          <cell r="C132">
            <v>45322</v>
          </cell>
          <cell r="D132">
            <v>-0.55940562833323149</v>
          </cell>
          <cell r="E132">
            <v>-1.45636715813883</v>
          </cell>
          <cell r="F132">
            <v>-3.7856115137125564E-2</v>
          </cell>
          <cell r="G132">
            <v>-0.33309401108660858</v>
          </cell>
          <cell r="H132">
            <v>0.1083693246597589</v>
          </cell>
          <cell r="I132">
            <v>-2.5</v>
          </cell>
          <cell r="J132">
            <v>45322</v>
          </cell>
          <cell r="K132">
            <v>-7.0650013533236439E-2</v>
          </cell>
          <cell r="L132">
            <v>-0.15157206343405016</v>
          </cell>
          <cell r="M132">
            <v>6.5897037985582385E-2</v>
          </cell>
          <cell r="N132">
            <v>-3.8634022991473983E-2</v>
          </cell>
          <cell r="O132">
            <v>8.9587833916375519E-3</v>
          </cell>
          <cell r="P132">
            <v>-0.2</v>
          </cell>
        </row>
        <row r="133">
          <cell r="C133">
            <v>45351</v>
          </cell>
          <cell r="D133">
            <v>-0.44137742276325714</v>
          </cell>
          <cell r="E133">
            <v>-1.6925996587220367</v>
          </cell>
          <cell r="F133">
            <v>-0.21098607800190755</v>
          </cell>
          <cell r="G133">
            <v>-0.31880848631945391</v>
          </cell>
          <cell r="H133">
            <v>8.8342323927555866E-2</v>
          </cell>
          <cell r="I133">
            <v>-2.7</v>
          </cell>
          <cell r="J133">
            <v>45351</v>
          </cell>
          <cell r="K133">
            <v>-3.4252615536817139E-2</v>
          </cell>
          <cell r="L133">
            <v>-7.0854461705087232E-2</v>
          </cell>
          <cell r="M133">
            <v>-0.10532324379899069</v>
          </cell>
          <cell r="N133">
            <v>-3.540447619543078E-2</v>
          </cell>
          <cell r="O133">
            <v>2.5772176222299669E-3</v>
          </cell>
          <cell r="P133">
            <v>-0.2</v>
          </cell>
        </row>
        <row r="134">
          <cell r="C134">
            <v>45382</v>
          </cell>
          <cell r="D134">
            <v>-0.49290872804431513</v>
          </cell>
          <cell r="E134">
            <v>-1.7991638547035815</v>
          </cell>
          <cell r="F134">
            <v>-0.14933839139902963</v>
          </cell>
          <cell r="G134">
            <v>-0.35412100611484004</v>
          </cell>
          <cell r="H134">
            <v>7.7160885437278323E-2</v>
          </cell>
          <cell r="I134">
            <v>-2.8</v>
          </cell>
          <cell r="J134">
            <v>45382</v>
          </cell>
          <cell r="K134">
            <v>-1.2554531606130646E-2</v>
          </cell>
          <cell r="L134">
            <v>-6.5163806944904382E-2</v>
          </cell>
          <cell r="M134">
            <v>4.1816610311033911E-2</v>
          </cell>
          <cell r="N134">
            <v>-6.8963160088750364E-2</v>
          </cell>
          <cell r="O134">
            <v>-3.8304237832797593E-2</v>
          </cell>
          <cell r="P134">
            <v>-0.1</v>
          </cell>
        </row>
        <row r="135">
          <cell r="C135">
            <v>45412</v>
          </cell>
          <cell r="D135">
            <v>-0.47856245007212195</v>
          </cell>
          <cell r="E135">
            <v>-1.5869744857700463</v>
          </cell>
          <cell r="F135">
            <v>-0.16492011630816919</v>
          </cell>
          <cell r="G135">
            <v>-0.30726579092692768</v>
          </cell>
          <cell r="H135">
            <v>8.3291022074466564E-2</v>
          </cell>
          <cell r="I135">
            <v>-2.5</v>
          </cell>
          <cell r="J135">
            <v>45412</v>
          </cell>
          <cell r="K135">
            <v>-9.2524615510692743E-2</v>
          </cell>
          <cell r="L135">
            <v>-4.9461868955582682E-2</v>
          </cell>
          <cell r="M135">
            <v>-5.7486526569319671E-2</v>
          </cell>
          <cell r="N135">
            <v>-3.7409228839052407E-2</v>
          </cell>
          <cell r="O135">
            <v>-5.945209797712997E-2</v>
          </cell>
          <cell r="P135">
            <v>-0.2</v>
          </cell>
        </row>
        <row r="136">
          <cell r="C136">
            <v>45443</v>
          </cell>
          <cell r="D136">
            <v>-0.46359685506426357</v>
          </cell>
          <cell r="E136">
            <v>-0.53569575363809985</v>
          </cell>
          <cell r="F136">
            <v>-0.13715925201747917</v>
          </cell>
          <cell r="G136">
            <v>-0.29694836877746517</v>
          </cell>
          <cell r="H136">
            <v>0.1197664817681143</v>
          </cell>
          <cell r="I136">
            <v>-1.4</v>
          </cell>
          <cell r="J136">
            <v>45443</v>
          </cell>
          <cell r="K136">
            <v>-5.5684418525378115E-2</v>
          </cell>
          <cell r="L136">
            <v>0.28064990493219621</v>
          </cell>
          <cell r="M136">
            <v>1.5581724909139548E-2</v>
          </cell>
          <cell r="N136">
            <v>-4.6652667265716159E-2</v>
          </cell>
          <cell r="O136">
            <v>9.4982158224067251E-3</v>
          </cell>
          <cell r="P136">
            <v>0.2</v>
          </cell>
        </row>
        <row r="137">
          <cell r="C137">
            <v>45473</v>
          </cell>
          <cell r="D137">
            <v>-0.52536959721506971</v>
          </cell>
          <cell r="E137">
            <v>0.10888054122977267</v>
          </cell>
          <cell r="F137">
            <v>-0.14671645506955291</v>
          </cell>
          <cell r="G137">
            <v>-0.2333464048452778</v>
          </cell>
          <cell r="H137">
            <v>0.12747251080480987</v>
          </cell>
          <cell r="I137">
            <v>-0.8</v>
          </cell>
          <cell r="J137">
            <v>45473</v>
          </cell>
          <cell r="K137">
            <v>-0.10409015149587296</v>
          </cell>
          <cell r="L137">
            <v>-1.5313138746121585E-2</v>
          </cell>
          <cell r="M137">
            <v>-8.2098411856414893E-2</v>
          </cell>
          <cell r="N137">
            <v>3.305664201652216E-3</v>
          </cell>
          <cell r="O137">
            <v>1.5085849981616772E-2</v>
          </cell>
          <cell r="P137">
            <v>-0.2</v>
          </cell>
        </row>
        <row r="138">
          <cell r="C138">
            <v>45504</v>
          </cell>
          <cell r="D138">
            <v>-0.570404354972608</v>
          </cell>
          <cell r="E138">
            <v>0.10540147307052451</v>
          </cell>
          <cell r="F138">
            <v>-0.13567738491617057</v>
          </cell>
          <cell r="G138">
            <v>-0.27807270557126879</v>
          </cell>
          <cell r="H138">
            <v>0.11872823004334233</v>
          </cell>
          <cell r="I138">
            <v>-0.8</v>
          </cell>
          <cell r="J138">
            <v>45504</v>
          </cell>
          <cell r="K138">
            <v>-2.3434642492196858E-2</v>
          </cell>
          <cell r="L138">
            <v>-0.19391099963218511</v>
          </cell>
          <cell r="M138">
            <v>-3.8039152468888886E-2</v>
          </cell>
          <cell r="N138">
            <v>-2.7318048114686477E-2</v>
          </cell>
          <cell r="O138">
            <v>2.2601913133540576E-2</v>
          </cell>
          <cell r="P138">
            <v>-0.2</v>
          </cell>
        </row>
        <row r="139">
          <cell r="C139">
            <v>45535</v>
          </cell>
          <cell r="D139">
            <v>-0.54649385945979134</v>
          </cell>
          <cell r="E139">
            <v>-0.83013007600966371</v>
          </cell>
          <cell r="F139">
            <v>-0.15952407328965365</v>
          </cell>
          <cell r="G139">
            <v>-0.34910885756851118</v>
          </cell>
          <cell r="H139">
            <v>3.3561773276025358E-2</v>
          </cell>
          <cell r="I139">
            <v>-1.8</v>
          </cell>
          <cell r="J139">
            <v>45535</v>
          </cell>
          <cell r="K139">
            <v>-4.4151936571922339E-2</v>
          </cell>
          <cell r="L139">
            <v>-0.70988951256727251</v>
          </cell>
          <cell r="M139">
            <v>1.0033511531061868E-3</v>
          </cell>
          <cell r="N139">
            <v>-1.6817983936950123E-2</v>
          </cell>
          <cell r="O139">
            <v>-6.4656639013074974E-2</v>
          </cell>
          <cell r="P139">
            <v>-0.7</v>
          </cell>
        </row>
        <row r="140">
          <cell r="C140">
            <v>45565</v>
          </cell>
          <cell r="D140">
            <v>-0.61013418286917731</v>
          </cell>
          <cell r="E140">
            <v>-1.7020463894875224</v>
          </cell>
          <cell r="F140">
            <v>-0.15589216339942782</v>
          </cell>
          <cell r="G140">
            <v>-0.42941684324361507</v>
          </cell>
          <cell r="H140">
            <v>-4.960086324829191E-2</v>
          </cell>
          <cell r="I140">
            <v>-2.8</v>
          </cell>
          <cell r="J140">
            <v>45565</v>
          </cell>
          <cell r="K140">
            <v>-3.4184986414289159E-2</v>
          </cell>
          <cell r="L140">
            <v>-0.61275491287849448</v>
          </cell>
          <cell r="M140">
            <v>1.342726718179366E-2</v>
          </cell>
          <cell r="N140">
            <v>-5.0890010230733591E-2</v>
          </cell>
          <cell r="O140">
            <v>-6.8168769797601697E-2</v>
          </cell>
          <cell r="P140">
            <v>-0.6</v>
          </cell>
        </row>
        <row r="141">
          <cell r="C141">
            <v>45596</v>
          </cell>
          <cell r="D141">
            <v>-0.69864491360260894</v>
          </cell>
          <cell r="E141">
            <v>-1.5745049358205983</v>
          </cell>
          <cell r="F141">
            <v>-0.12965507052831915</v>
          </cell>
          <cell r="G141">
            <v>-0.4561553807395099</v>
          </cell>
          <cell r="H141">
            <v>-9.028836218685371E-2</v>
          </cell>
          <cell r="I141">
            <v>-2.9</v>
          </cell>
          <cell r="J141">
            <v>45596</v>
          </cell>
          <cell r="K141">
            <v>-0.15324073291802046</v>
          </cell>
          <cell r="L141">
            <v>0.21638986918365566</v>
          </cell>
          <cell r="M141">
            <v>-2.222148078946962E-2</v>
          </cell>
          <cell r="N141">
            <v>-3.8310799011367455E-2</v>
          </cell>
          <cell r="O141">
            <v>-1.2500998060746352E-2</v>
          </cell>
          <cell r="P141">
            <v>-0.1</v>
          </cell>
        </row>
        <row r="142">
          <cell r="C142">
            <v>45626</v>
          </cell>
          <cell r="D142">
            <v>-0.64986950204682881</v>
          </cell>
          <cell r="E142">
            <v>-1.2990739768694393</v>
          </cell>
          <cell r="F142">
            <v>-7.0777075676051404E-2</v>
          </cell>
          <cell r="G142">
            <v>-0.44572838325567032</v>
          </cell>
          <cell r="H142">
            <v>-7.7392201356082158E-2</v>
          </cell>
          <cell r="I142">
            <v>-2.5</v>
          </cell>
          <cell r="J142">
            <v>45626</v>
          </cell>
          <cell r="K142">
            <v>1.6155956937313601E-2</v>
          </cell>
          <cell r="L142">
            <v>0.14828292463696879</v>
          </cell>
          <cell r="M142">
            <v>2.9244938861212925E-2</v>
          </cell>
          <cell r="N142">
            <v>-3.0336321308519862E-2</v>
          </cell>
          <cell r="O142">
            <v>-7.5127997497471087E-3</v>
          </cell>
          <cell r="P142">
            <v>0.1</v>
          </cell>
        </row>
        <row r="143">
          <cell r="C143">
            <v>45657</v>
          </cell>
          <cell r="D143">
            <v>-0.62875344557209645</v>
          </cell>
          <cell r="E143">
            <v>-1.216443808774472</v>
          </cell>
          <cell r="F143">
            <v>-6.6999617833906372E-2</v>
          </cell>
          <cell r="G143">
            <v>-0.39448264177798648</v>
          </cell>
          <cell r="H143">
            <v>-4.0061302762824422E-2</v>
          </cell>
          <cell r="I143">
            <v>-2.2999999999999998</v>
          </cell>
          <cell r="J143">
            <v>45657</v>
          </cell>
          <cell r="K143">
            <v>-4.6638834866167364E-2</v>
          </cell>
          <cell r="L143">
            <v>-5.1242330910892767E-2</v>
          </cell>
          <cell r="M143">
            <v>7.8704656205683107E-2</v>
          </cell>
          <cell r="N143">
            <v>-1.802883182523083E-2</v>
          </cell>
          <cell r="O143">
            <v>-3.7623655201429615E-2</v>
          </cell>
          <cell r="P143">
            <v>-0.1</v>
          </cell>
        </row>
        <row r="144">
          <cell r="C144">
            <v>45688</v>
          </cell>
          <cell r="D144">
            <v>-0.56119595031769887</v>
          </cell>
          <cell r="E144">
            <v>-1.1901526237769611</v>
          </cell>
          <cell r="F144">
            <v>-0.13213587384430525</v>
          </cell>
          <cell r="G144">
            <v>-0.41118764303635141</v>
          </cell>
          <cell r="H144">
            <v>-1.5497126739809328E-2</v>
          </cell>
          <cell r="I144">
            <v>-2.2999999999999998</v>
          </cell>
          <cell r="J144">
            <v>45688</v>
          </cell>
          <cell r="K144">
            <v>-4.8594163831662054E-3</v>
          </cell>
          <cell r="L144">
            <v>-0.11450796247035933</v>
          </cell>
          <cell r="M144">
            <v>-1.3870533445194209E-3</v>
          </cell>
          <cell r="N144">
            <v>-5.9716616166466854E-2</v>
          </cell>
          <cell r="O144">
            <v>-1.7240375383201334E-2</v>
          </cell>
          <cell r="P144">
            <v>-0.2</v>
          </cell>
        </row>
        <row r="145">
          <cell r="C145">
            <v>45716</v>
          </cell>
          <cell r="D145">
            <v>-0.5622856290929017</v>
          </cell>
          <cell r="E145">
            <v>-1.152177890738137</v>
          </cell>
          <cell r="F145">
            <v>-7.0492602179855979E-2</v>
          </cell>
          <cell r="G145">
            <v>-0.41315437457396792</v>
          </cell>
          <cell r="H145">
            <v>-2.0773330497746916E-2</v>
          </cell>
          <cell r="I145">
            <v>-2.2000000000000002</v>
          </cell>
          <cell r="J145">
            <v>45716</v>
          </cell>
          <cell r="K145">
            <v>-2.2042914254236712E-2</v>
          </cell>
          <cell r="L145">
            <v>-2.6750961626762382E-2</v>
          </cell>
          <cell r="M145">
            <v>-3.6032450162676512E-2</v>
          </cell>
          <cell r="N145">
            <v>-2.8018075810637207E-2</v>
          </cell>
          <cell r="O145">
            <v>-6.2327442104661929E-2</v>
          </cell>
          <cell r="P145">
            <v>-0.1</v>
          </cell>
        </row>
        <row r="146">
          <cell r="C146">
            <v>45747</v>
          </cell>
          <cell r="D146">
            <v>-0.67949864259978809</v>
          </cell>
          <cell r="E146">
            <v>-1.2255377902562865</v>
          </cell>
          <cell r="F146">
            <v>-0.13515254971126678</v>
          </cell>
          <cell r="G146">
            <v>-0.37978893070953934</v>
          </cell>
          <cell r="H146">
            <v>-4.8466701014386347E-2</v>
          </cell>
          <cell r="I146">
            <v>-2.5</v>
          </cell>
          <cell r="J146">
            <v>45747</v>
          </cell>
          <cell r="K146">
            <v>-0.13429033694262249</v>
          </cell>
          <cell r="L146">
            <v>-0.15175003593985459</v>
          </cell>
          <cell r="M146">
            <v>-3.1635343358838532E-2</v>
          </cell>
          <cell r="N146">
            <v>-3.718650647436756E-2</v>
          </cell>
          <cell r="O146">
            <v>-0.12719167453039526</v>
          </cell>
          <cell r="P146">
            <v>-0.4</v>
          </cell>
        </row>
        <row r="147">
          <cell r="C147">
            <v>45777</v>
          </cell>
          <cell r="D147">
            <v>-0.66463373074618226</v>
          </cell>
          <cell r="E147">
            <v>-1.4348767385176229</v>
          </cell>
          <cell r="F147">
            <v>-0.11192771776869095</v>
          </cell>
          <cell r="G147">
            <v>-0.39075064168874252</v>
          </cell>
          <cell r="H147">
            <v>-7.398655759742101E-2</v>
          </cell>
          <cell r="I147">
            <v>-2.7</v>
          </cell>
          <cell r="J147">
            <v>45777</v>
          </cell>
          <cell r="K147">
            <v>-7.7659703657086854E-2</v>
          </cell>
          <cell r="L147">
            <v>-0.25590743629348578</v>
          </cell>
          <cell r="M147">
            <v>-3.426169462674386E-2</v>
          </cell>
          <cell r="N147">
            <v>-4.3606790501858304E-2</v>
          </cell>
          <cell r="O147">
            <v>-9.5176170598634799E-2</v>
          </cell>
          <cell r="P147">
            <v>-0.4</v>
          </cell>
        </row>
        <row r="148">
          <cell r="C148">
            <v>45808</v>
          </cell>
          <cell r="D148">
            <v>-0.62214800912433499</v>
          </cell>
          <cell r="E148">
            <v>-2.0711369479418922</v>
          </cell>
          <cell r="F148">
            <v>-0.10944029204506187</v>
          </cell>
          <cell r="G148">
            <v>-0.38476939482183148</v>
          </cell>
          <cell r="H148">
            <v>-0.11365046971131493</v>
          </cell>
          <cell r="I148">
            <v>-3.3</v>
          </cell>
          <cell r="J148">
            <v>45808</v>
          </cell>
          <cell r="K148">
            <v>4.455162707077397E-3</v>
          </cell>
          <cell r="L148">
            <v>-0.39225384551073428</v>
          </cell>
          <cell r="M148">
            <v>2.7002289784720832E-2</v>
          </cell>
          <cell r="N148">
            <v>-3.5428621934116639E-2</v>
          </cell>
          <cell r="O148">
            <v>-0.11037724187968484</v>
          </cell>
          <cell r="P148">
            <v>-0.4</v>
          </cell>
        </row>
        <row r="149">
          <cell r="C149">
            <v>45838</v>
          </cell>
          <cell r="D149">
            <v>-0.56696852742929815</v>
          </cell>
          <cell r="E149">
            <v>-2.3647440376068536</v>
          </cell>
          <cell r="F149">
            <v>-9.2096641476846944E-2</v>
          </cell>
          <cell r="G149">
            <v>-0.42493638648418269</v>
          </cell>
          <cell r="H149">
            <v>-9.9106388532993389E-2</v>
          </cell>
          <cell r="I149">
            <v>-3.6</v>
          </cell>
          <cell r="J149">
            <v>45838</v>
          </cell>
          <cell r="K149">
            <v>-4.6154776075558228E-2</v>
          </cell>
          <cell r="L149">
            <v>-0.31185613453707395</v>
          </cell>
          <cell r="M149">
            <v>-7.3687900440152165E-2</v>
          </cell>
          <cell r="N149">
            <v>-4.533874936352647E-2</v>
          </cell>
          <cell r="O149">
            <v>-6.5306311704471182E-2</v>
          </cell>
          <cell r="P149">
            <v>-0.4</v>
          </cell>
        </row>
        <row r="150">
          <cell r="C150">
            <v>45869</v>
          </cell>
          <cell r="D150">
            <v>-0.63190538720347389</v>
          </cell>
          <cell r="E150">
            <v>-2.2492141071225835</v>
          </cell>
          <cell r="F150">
            <v>-0.1204396653493858</v>
          </cell>
          <cell r="G150">
            <v>-0.42472172165067867</v>
          </cell>
          <cell r="H150">
            <v>-0.10625164304726527</v>
          </cell>
          <cell r="I150">
            <v>-3.6</v>
          </cell>
          <cell r="J150">
            <v>45869</v>
          </cell>
          <cell r="K150">
            <v>-8.8371502266372665E-2</v>
          </cell>
          <cell r="L150">
            <v>-7.9256509544737008E-2</v>
          </cell>
          <cell r="M150">
            <v>-6.9674495827727417E-2</v>
          </cell>
          <cell r="N150">
            <v>-2.3785432445528602E-2</v>
          </cell>
          <cell r="O150">
            <v>-1.8093006339002959E-2</v>
          </cell>
          <cell r="P150">
            <v>-0.2</v>
          </cell>
        </row>
        <row r="151">
          <cell r="C151">
            <v>45900</v>
          </cell>
          <cell r="D151">
            <v>-0.6396599257789769</v>
          </cell>
          <cell r="E151">
            <v>-1.4826982322661724</v>
          </cell>
          <cell r="F151">
            <v>-0.11337209549015542</v>
          </cell>
          <cell r="G151">
            <v>-0.42108668585514208</v>
          </cell>
          <cell r="H151">
            <v>-7.0400717750827124E-2</v>
          </cell>
          <cell r="I151">
            <v>-2.9</v>
          </cell>
          <cell r="J151">
            <v>45900</v>
          </cell>
          <cell r="K151">
            <v>-6.0683063375603266E-2</v>
          </cell>
          <cell r="L151">
            <v>9.8612239835654258E-2</v>
          </cell>
          <cell r="M151">
            <v>5.4004579569441671E-3</v>
          </cell>
          <cell r="N151">
            <v>-9.0834382651049338E-3</v>
          </cell>
          <cell r="O151">
            <v>6.4539299402551403E-2</v>
          </cell>
          <cell r="P151">
            <v>0</v>
          </cell>
        </row>
        <row r="152">
          <cell r="C152">
            <v>45930</v>
          </cell>
          <cell r="D152">
            <v>-0.68037874929649678</v>
          </cell>
          <cell r="E152">
            <v>-0.9056702826659494</v>
          </cell>
          <cell r="F152">
            <v>-0.13119426200657275</v>
          </cell>
          <cell r="G152">
            <v>-0.39169356189508964</v>
          </cell>
          <cell r="H152">
            <v>-2.791469105780861E-2</v>
          </cell>
          <cell r="I152">
            <v>-2.2999999999999998</v>
          </cell>
          <cell r="J152">
            <v>45930</v>
          </cell>
          <cell r="K152">
            <v>-7.4903809931808965E-2</v>
          </cell>
          <cell r="L152">
            <v>-1.5528558738193848E-2</v>
          </cell>
          <cell r="M152">
            <v>-4.0134046124247471E-3</v>
          </cell>
          <cell r="N152">
            <v>-2.2728386617898392E-2</v>
          </cell>
          <cell r="O152">
            <v>5.9434288910412629E-2</v>
          </cell>
          <cell r="P152">
            <v>0</v>
          </cell>
        </row>
        <row r="153">
          <cell r="C153">
            <v>45961</v>
          </cell>
          <cell r="D153">
            <v>-0.54635740778490716</v>
          </cell>
          <cell r="E153">
            <v>-1.1017972849116922</v>
          </cell>
          <cell r="F153">
            <v>-0.1217781919679895</v>
          </cell>
          <cell r="G153">
            <v>-0.37022264641915031</v>
          </cell>
          <cell r="H153">
            <v>-7.0729193466694679E-3</v>
          </cell>
          <cell r="I153">
            <v>-2.1</v>
          </cell>
          <cell r="J153">
            <v>45961</v>
          </cell>
          <cell r="K153">
            <v>-1.0342120024000508E-2</v>
          </cell>
          <cell r="L153">
            <v>1.5931345064916846E-2</v>
          </cell>
          <cell r="M153">
            <v>-1.9831076291844014E-2</v>
          </cell>
          <cell r="N153">
            <v>-1.0183912692669769E-2</v>
          </cell>
          <cell r="O153">
            <v>3.9403746559718303E-2</v>
          </cell>
          <cell r="P153">
            <v>0.1</v>
          </cell>
        </row>
        <row r="154">
          <cell r="C154">
            <v>45991</v>
          </cell>
          <cell r="D154">
            <v>-0.56407889651804333</v>
          </cell>
          <cell r="E154">
            <v>-1.2598115695685106</v>
          </cell>
          <cell r="F154">
            <v>-0.15805100383937437</v>
          </cell>
          <cell r="G154">
            <v>-0.34272100883684836</v>
          </cell>
          <cell r="H154">
            <v>-1.5480441280293043E-2</v>
          </cell>
          <cell r="I154">
            <v>-2.2000000000000002</v>
          </cell>
          <cell r="J154">
            <v>45991</v>
          </cell>
          <cell r="K154">
            <v>1.0068315425243793E-4</v>
          </cell>
          <cell r="L154">
            <v>-2.7468935886296342E-2</v>
          </cell>
          <cell r="M154">
            <v>-7.7908624545697741E-3</v>
          </cell>
          <cell r="N154">
            <v>-2.1707554027325638E-3</v>
          </cell>
          <cell r="O154">
            <v>8.3718321514313965E-2</v>
          </cell>
          <cell r="P154">
            <v>0.1</v>
          </cell>
        </row>
        <row r="155">
          <cell r="C155">
            <v>46022</v>
          </cell>
          <cell r="D155">
            <v>-0.53951602993783709</v>
          </cell>
          <cell r="E155">
            <v>-1.0531391667760819</v>
          </cell>
          <cell r="F155">
            <v>-0.15843249856157327</v>
          </cell>
          <cell r="G155">
            <v>-0.33941024973179784</v>
          </cell>
          <cell r="H155">
            <v>-1.6702643401953474E-2</v>
          </cell>
          <cell r="I155">
            <v>-1.9</v>
          </cell>
          <cell r="J155">
            <v>46022</v>
          </cell>
          <cell r="K155">
            <v>-2.3742183236036218E-2</v>
          </cell>
          <cell r="L155">
            <v>0.13389642346052735</v>
          </cell>
          <cell r="M155">
            <v>8.6111816468839641E-2</v>
          </cell>
          <cell r="N155">
            <v>-1.7357535603282702E-2</v>
          </cell>
          <cell r="O155">
            <v>2.9524985602842811E-2</v>
          </cell>
          <cell r="P155">
            <v>0.2</v>
          </cell>
        </row>
        <row r="156">
          <cell r="C156">
            <v>46053</v>
          </cell>
          <cell r="D156">
            <v>-0.49469084425879317</v>
          </cell>
          <cell r="E156">
            <v>-0.68898475225282951</v>
          </cell>
          <cell r="F156">
            <v>-0.18972604404727136</v>
          </cell>
          <cell r="G156">
            <v>-0.41304318687399921</v>
          </cell>
          <cell r="H156">
            <v>-5.708403994279658E-2</v>
          </cell>
          <cell r="I156">
            <v>-1.4</v>
          </cell>
          <cell r="J156">
            <v>46053</v>
          </cell>
          <cell r="K156">
            <v>6.8163115238991406E-2</v>
          </cell>
          <cell r="L156">
            <v>0.24928506839572123</v>
          </cell>
          <cell r="M156">
            <v>7.4071602631565403E-3</v>
          </cell>
          <cell r="N156">
            <v>-7.046094674906439E-2</v>
          </cell>
          <cell r="O156">
            <v>-6.9080143066777996E-2</v>
          </cell>
          <cell r="P156">
            <v>0.4</v>
          </cell>
        </row>
        <row r="157">
          <cell r="C157">
            <v>46081</v>
          </cell>
          <cell r="D157">
            <v>-0.38397437827542646</v>
          </cell>
          <cell r="E157">
            <v>-0.2548012374846832</v>
          </cell>
          <cell r="F157">
            <v>-0.4263736777460817</v>
          </cell>
          <cell r="G157">
            <v>-0.43579246979293218</v>
          </cell>
          <cell r="H157">
            <v>-1.8276597955006975E-2</v>
          </cell>
          <cell r="I157">
            <v>-0.9</v>
          </cell>
          <cell r="J157">
            <v>46081</v>
          </cell>
          <cell r="K157">
            <v>5.78209952149909E-2</v>
          </cell>
          <cell r="L157">
            <v>0.37997815002929697</v>
          </cell>
          <cell r="M157">
            <v>-0.28887925026310507</v>
          </cell>
          <cell r="N157">
            <v>-3.8899355420063605E-2</v>
          </cell>
          <cell r="O157">
            <v>4.0314746009290421E-2</v>
          </cell>
          <cell r="P157">
            <v>0.4</v>
          </cell>
        </row>
        <row r="158">
          <cell r="C158">
            <v>46112</v>
          </cell>
          <cell r="D158">
            <v>-0.22094870452762463</v>
          </cell>
          <cell r="E158">
            <v>0.4750500958551882</v>
          </cell>
          <cell r="F158">
            <v>-0.29944860211931434</v>
          </cell>
          <cell r="G158">
            <v>-0.3964027618780615</v>
          </cell>
          <cell r="H158">
            <v>0.12858567039244859</v>
          </cell>
          <cell r="I158">
            <v>0.5</v>
          </cell>
          <cell r="J158">
            <v>46112</v>
          </cell>
          <cell r="K158">
            <v>4.0368501912887544E-2</v>
          </cell>
          <cell r="L158">
            <v>0.62963704125177733</v>
          </cell>
          <cell r="M158">
            <v>0.10370024368419155</v>
          </cell>
          <cell r="N158">
            <v>3.2676645795322737E-3</v>
          </cell>
          <cell r="O158">
            <v>0.12871621507307032</v>
          </cell>
          <cell r="P158">
            <v>1</v>
          </cell>
        </row>
        <row r="159">
          <cell r="C159">
            <v>46142</v>
          </cell>
          <cell r="D159">
            <v>-2.5260795300563355E-2</v>
          </cell>
          <cell r="E159">
            <v>2.1635339373577809</v>
          </cell>
          <cell r="F159">
            <v>-0.31101692241602918</v>
          </cell>
          <cell r="G159">
            <v>-0.34762046044026651</v>
          </cell>
          <cell r="H159">
            <v>0.30905266904458184</v>
          </cell>
          <cell r="I159">
            <v>2.8</v>
          </cell>
          <cell r="J159">
            <v>46142</v>
          </cell>
          <cell r="K159">
            <v>8.857286857487752E-2</v>
          </cell>
          <cell r="L159">
            <v>1.4369979338195571</v>
          </cell>
          <cell r="M159">
            <v>-4.3823312617246278E-2</v>
          </cell>
          <cell r="N159">
            <v>-2.0524989674039082E-2</v>
          </cell>
          <cell r="O159">
            <v>0.18582560062954656</v>
          </cell>
          <cell r="P159">
            <v>1.7</v>
          </cell>
        </row>
        <row r="160">
          <cell r="C160">
            <v>46173</v>
          </cell>
          <cell r="D160">
            <v>5.8957593721489232E-2</v>
          </cell>
          <cell r="E160">
            <v>2.9791408166740214</v>
          </cell>
          <cell r="F160">
            <v>-0.29434586247385158</v>
          </cell>
          <cell r="G160">
            <v>-0.2841717711393455</v>
          </cell>
          <cell r="H160">
            <v>0.36442823416072895</v>
          </cell>
          <cell r="I160">
            <v>3.9</v>
          </cell>
          <cell r="J160">
            <v>46173</v>
          </cell>
          <cell r="K160">
            <v>6.2243103890343834E-2</v>
          </cell>
          <cell r="L160">
            <v>0.31622977019622445</v>
          </cell>
          <cell r="M160">
            <v>4.429520615780573E-2</v>
          </cell>
          <cell r="N160">
            <v>6.8047585645804138E-3</v>
          </cell>
          <cell r="O160">
            <v>7.2319156736877541E-2</v>
          </cell>
          <cell r="P160">
            <v>0.5</v>
          </cell>
        </row>
        <row r="161">
          <cell r="C161">
            <v>46203</v>
          </cell>
          <cell r="D161">
            <v>0.2202839984874915</v>
          </cell>
          <cell r="E161">
            <v>3.0288285951286729</v>
          </cell>
          <cell r="F161">
            <v>-0.28234755295485009</v>
          </cell>
          <cell r="G161">
            <v>-0.30836316093306704</v>
          </cell>
          <cell r="H161">
            <v>0.20568170242517936</v>
          </cell>
          <cell r="I161">
            <v>4.0999999999999996</v>
          </cell>
          <cell r="J161">
            <v>46203</v>
          </cell>
          <cell r="K161">
            <v>8.8673551729129968E-2</v>
          </cell>
          <cell r="L161">
            <v>-0.20471356765685284</v>
          </cell>
          <cell r="M161">
            <v>-6.0644335449771741E-2</v>
          </cell>
          <cell r="N161">
            <v>-7.6275680614588656E-2</v>
          </cell>
          <cell r="O161">
            <v>1.601002872062459E-2</v>
          </cell>
          <cell r="P161">
            <v>-0.3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一图"/>
      <sheetName val="收入回溯"/>
      <sheetName val="Sheet1"/>
      <sheetName val="文字总结"/>
      <sheetName val="分税种回溯"/>
      <sheetName val="非税占比"/>
      <sheetName val="支出回溯"/>
      <sheetName val="支出分项"/>
      <sheetName val="政府性基金"/>
      <sheetName val="基建相关支出占比"/>
      <sheetName val="赤字计算"/>
      <sheetName val="实际赤字率"/>
      <sheetName val="财政目标"/>
      <sheetName val="发债进度"/>
      <sheetName val="综合"/>
      <sheetName val="专项债提前下达信息"/>
    </sheetNames>
    <sheetDataSet>
      <sheetData sheetId="0">
        <row r="10">
          <cell r="E10">
            <v>46203</v>
          </cell>
          <cell r="F10">
            <v>46173</v>
          </cell>
          <cell r="G10">
            <v>46142</v>
          </cell>
          <cell r="H10">
            <v>46112</v>
          </cell>
          <cell r="I10">
            <v>46081</v>
          </cell>
          <cell r="J10">
            <v>46022</v>
          </cell>
          <cell r="K10">
            <v>45991</v>
          </cell>
          <cell r="L10">
            <v>45961</v>
          </cell>
          <cell r="M10">
            <v>45930</v>
          </cell>
          <cell r="N10">
            <v>45900</v>
          </cell>
          <cell r="O10">
            <v>45869</v>
          </cell>
          <cell r="P10">
            <v>45838</v>
          </cell>
          <cell r="Q10">
            <v>45808</v>
          </cell>
        </row>
        <row r="11">
          <cell r="E11">
            <v>8.6522726072955756</v>
          </cell>
          <cell r="F11">
            <v>6.5846192290872851</v>
          </cell>
          <cell r="G11">
            <v>6.6774367259019973</v>
          </cell>
          <cell r="H11">
            <v>6.8940182452703169</v>
          </cell>
          <cell r="I11">
            <v>0.67949653411163435</v>
          </cell>
          <cell r="J11">
            <v>-24.9516721438237</v>
          </cell>
          <cell r="K11">
            <v>-2.138427542947019E-2</v>
          </cell>
          <cell r="L11">
            <v>3.1566462913967808</v>
          </cell>
          <cell r="M11">
            <v>2.5845710920630705</v>
          </cell>
          <cell r="N11">
            <v>2.030875918434738</v>
          </cell>
          <cell r="O11">
            <v>2.6481012658227776</v>
          </cell>
          <cell r="P11">
            <v>-0.30524709225829838</v>
          </cell>
          <cell r="Q11">
            <v>0.13136494432628432</v>
          </cell>
        </row>
        <row r="12">
          <cell r="E12">
            <v>18.119104603688573</v>
          </cell>
          <cell r="F12">
            <v>10.822969039428409</v>
          </cell>
          <cell r="G12">
            <v>9.2434347644851922</v>
          </cell>
          <cell r="H12">
            <v>20.504862404303736</v>
          </cell>
          <cell r="I12">
            <v>-1.7026514180214392</v>
          </cell>
          <cell r="J12">
            <v>-50.253301972136775</v>
          </cell>
          <cell r="K12">
            <v>-4.2318840579710137</v>
          </cell>
          <cell r="L12">
            <v>2.2929818046788064</v>
          </cell>
          <cell r="M12">
            <v>3.4651126161600265</v>
          </cell>
          <cell r="N12">
            <v>2.0299145299145227</v>
          </cell>
          <cell r="O12">
            <v>2.208752825148963</v>
          </cell>
          <cell r="P12">
            <v>-1.7973178487487917</v>
          </cell>
          <cell r="Q12">
            <v>0.39851222104143602</v>
          </cell>
        </row>
        <row r="13">
          <cell r="E13">
            <v>2.9729729729729648</v>
          </cell>
          <cell r="F13">
            <v>2.7932299680435646</v>
          </cell>
          <cell r="G13">
            <v>4.4040254824115888</v>
          </cell>
          <cell r="H13">
            <v>1.1739130434782696</v>
          </cell>
          <cell r="I13">
            <v>2.5865254341667754</v>
          </cell>
          <cell r="J13">
            <v>4.0672338659472951</v>
          </cell>
          <cell r="K13">
            <v>4.0538644971244153</v>
          </cell>
          <cell r="L13">
            <v>3.9910313901345251</v>
          </cell>
          <cell r="M13">
            <v>1.9588090441011952</v>
          </cell>
          <cell r="N13">
            <v>2.0317069416653899</v>
          </cell>
          <cell r="O13">
            <v>3.0750798722044781</v>
          </cell>
          <cell r="P13">
            <v>0.611828687967364</v>
          </cell>
          <cell r="Q13">
            <v>-0.10640813431070928</v>
          </cell>
        </row>
        <row r="14">
          <cell r="E14">
            <v>10.822007413329459</v>
          </cell>
          <cell r="F14">
            <v>6.7647058823529393</v>
          </cell>
          <cell r="G14">
            <v>8.207224124599577</v>
          </cell>
          <cell r="H14">
            <v>9.107287631744887</v>
          </cell>
          <cell r="I14">
            <v>0.12104872211065043</v>
          </cell>
          <cell r="J14">
            <v>-11.501915708812261</v>
          </cell>
          <cell r="K14">
            <v>2.7827648114901349</v>
          </cell>
          <cell r="L14">
            <v>8.564535585042222</v>
          </cell>
          <cell r="M14">
            <v>8.661786786786795</v>
          </cell>
          <cell r="N14">
            <v>3.3913840513290605</v>
          </cell>
          <cell r="O14">
            <v>5.0000000000000044</v>
          </cell>
          <cell r="P14">
            <v>1.0353943310324576</v>
          </cell>
          <cell r="Q14">
            <v>0.56196391600118467</v>
          </cell>
        </row>
        <row r="15">
          <cell r="E15">
            <v>2.8935185185185119</v>
          </cell>
          <cell r="F15">
            <v>5.5670959700872436</v>
          </cell>
          <cell r="G15">
            <v>-5.2563550193881925</v>
          </cell>
          <cell r="H15">
            <v>2.1980122324158913</v>
          </cell>
          <cell r="I15">
            <v>3.383508725189821</v>
          </cell>
          <cell r="J15">
            <v>-47.919392829102328</v>
          </cell>
          <cell r="K15">
            <v>-10.834198684665974</v>
          </cell>
          <cell r="L15">
            <v>-32.959719789842381</v>
          </cell>
          <cell r="M15">
            <v>-11.411281607953317</v>
          </cell>
          <cell r="N15">
            <v>-3.7925021795989555</v>
          </cell>
          <cell r="O15">
            <v>-12.93436293436293</v>
          </cell>
          <cell r="P15">
            <v>-3.6968233327141053</v>
          </cell>
          <cell r="Q15">
            <v>-2.2339561332250235</v>
          </cell>
        </row>
        <row r="16">
          <cell r="E16">
            <v>4.0045200932269154</v>
          </cell>
          <cell r="F16">
            <v>-1.5692752426182066</v>
          </cell>
          <cell r="G16">
            <v>-3.1927188673793738</v>
          </cell>
          <cell r="H16">
            <v>1.0137450845990159</v>
          </cell>
          <cell r="I16">
            <v>3.5701614333865539</v>
          </cell>
          <cell r="J16">
            <v>-1.774564574433124</v>
          </cell>
          <cell r="K16">
            <v>-3.7095133118534851</v>
          </cell>
          <cell r="L16">
            <v>-9.7785228080869651</v>
          </cell>
          <cell r="M16">
            <v>3.0809511853950644</v>
          </cell>
          <cell r="N16">
            <v>0.82451857879033419</v>
          </cell>
          <cell r="O16">
            <v>3.0383230997247601</v>
          </cell>
          <cell r="P16">
            <v>0.37572664114560173</v>
          </cell>
          <cell r="Q16">
            <v>2.627675354948078</v>
          </cell>
        </row>
        <row r="17">
          <cell r="E17">
            <v>6.8170790878214538</v>
          </cell>
          <cell r="F17">
            <v>11.253561253561251</v>
          </cell>
          <cell r="G17">
            <v>5.4978962131837283</v>
          </cell>
          <cell r="H17">
            <v>5.6978417266187131</v>
          </cell>
          <cell r="I17">
            <v>4.4639450591377416</v>
          </cell>
          <cell r="J17">
            <v>1.7372881355932179</v>
          </cell>
          <cell r="K17">
            <v>4.8773189706762476</v>
          </cell>
          <cell r="L17">
            <v>-0.98509052183173296</v>
          </cell>
          <cell r="M17">
            <v>3.1613203161320325</v>
          </cell>
          <cell r="N17">
            <v>2.7566539923954414</v>
          </cell>
          <cell r="O17">
            <v>7.4283915643688969</v>
          </cell>
          <cell r="P17">
            <v>7.39968733715477</v>
          </cell>
          <cell r="Q17">
            <v>11.040809870294211</v>
          </cell>
        </row>
        <row r="18">
          <cell r="E18">
            <v>3.5253760952223434</v>
          </cell>
          <cell r="F18">
            <v>-4.4067582902534319</v>
          </cell>
          <cell r="G18">
            <v>-4.9938957037381488</v>
          </cell>
          <cell r="H18">
            <v>0.34235274707143937</v>
          </cell>
          <cell r="I18">
            <v>3.4526019972901167</v>
          </cell>
          <cell r="J18">
            <v>-2.2503516174402272</v>
          </cell>
          <cell r="K18">
            <v>-5.1269386545490514</v>
          </cell>
          <cell r="L18">
            <v>-11.851851851851848</v>
          </cell>
          <cell r="M18">
            <v>3.0662877984647396</v>
          </cell>
          <cell r="N18">
            <v>0.42542051181360119</v>
          </cell>
          <cell r="O18">
            <v>2.1508113267578732</v>
          </cell>
          <cell r="P18">
            <v>-0.73028637072289904</v>
          </cell>
          <cell r="Q18">
            <v>0.93541202672606794</v>
          </cell>
        </row>
        <row r="19">
          <cell r="E19">
            <v>-31.144228340490017</v>
          </cell>
          <cell r="F19">
            <v>-20.262340352088373</v>
          </cell>
          <cell r="G19">
            <v>-26.415094339622641</v>
          </cell>
          <cell r="H19">
            <v>-16.678297278436844</v>
          </cell>
          <cell r="I19">
            <v>-15.953612286475476</v>
          </cell>
          <cell r="J19">
            <v>-11.711072839631242</v>
          </cell>
          <cell r="K19">
            <v>-15.756607609642757</v>
          </cell>
          <cell r="L19">
            <v>-18.365572701586615</v>
          </cell>
          <cell r="M19">
            <v>5.6435643564356468</v>
          </cell>
          <cell r="N19">
            <v>-5.7005104934770259</v>
          </cell>
          <cell r="O19">
            <v>8.9349112426035475</v>
          </cell>
          <cell r="P19">
            <v>20.811718034787916</v>
          </cell>
          <cell r="Q19">
            <v>-8.1483830057070321</v>
          </cell>
        </row>
        <row r="20">
          <cell r="E20">
            <v>-42.140468227424755</v>
          </cell>
          <cell r="F20">
            <v>-35.754765584750132</v>
          </cell>
          <cell r="G20">
            <v>-34.765154556403061</v>
          </cell>
          <cell r="H20">
            <v>-22.612826603325416</v>
          </cell>
          <cell r="I20">
            <v>-25.231871838111303</v>
          </cell>
          <cell r="J20">
            <v>-22.858209419523419</v>
          </cell>
          <cell r="K20">
            <v>-26.84350132625994</v>
          </cell>
          <cell r="L20">
            <v>-27.252985884907716</v>
          </cell>
          <cell r="M20">
            <v>-0.97751710654935664</v>
          </cell>
          <cell r="N20">
            <v>-5.7841140529531572</v>
          </cell>
          <cell r="O20">
            <v>7.1600000000000108</v>
          </cell>
          <cell r="P20">
            <v>21.891561353444771</v>
          </cell>
          <cell r="Q20">
            <v>-14.643799472295512</v>
          </cell>
        </row>
        <row r="21">
          <cell r="E21">
            <v>-43.659881255301102</v>
          </cell>
          <cell r="F21">
            <v>-11.454332943730172</v>
          </cell>
          <cell r="G21">
            <v>-20.779016805402861</v>
          </cell>
          <cell r="H21">
            <v>-14.243252883129232</v>
          </cell>
          <cell r="I21">
            <v>15.988730410283502</v>
          </cell>
          <cell r="J21">
            <v>1.5166340508806275</v>
          </cell>
          <cell r="K21">
            <v>2.7536364468026653</v>
          </cell>
          <cell r="L21">
            <v>-38.213065534734447</v>
          </cell>
          <cell r="M21">
            <v>0.36653905677281884</v>
          </cell>
          <cell r="N21">
            <v>19.760910269336019</v>
          </cell>
          <cell r="O21">
            <v>42.369870314443062</v>
          </cell>
          <cell r="P21">
            <v>79.202026599113367</v>
          </cell>
          <cell r="Q21">
            <v>8.7722484562295691</v>
          </cell>
        </row>
      </sheetData>
      <sheetData sheetId="1">
        <row r="8">
          <cell r="BJ8" t="str">
            <v>2019</v>
          </cell>
          <cell r="BK8" t="str">
            <v>2020</v>
          </cell>
          <cell r="BL8" t="str">
            <v>2021</v>
          </cell>
          <cell r="BM8" t="str">
            <v>2022</v>
          </cell>
          <cell r="BN8" t="str">
            <v>2023</v>
          </cell>
          <cell r="BO8">
            <v>2024</v>
          </cell>
          <cell r="BP8">
            <v>2025</v>
          </cell>
          <cell r="BQ8">
            <v>2026</v>
          </cell>
        </row>
        <row r="84">
          <cell r="BJ84">
            <v>56.023896103896107</v>
          </cell>
          <cell r="BK84">
            <v>53.351084484384536</v>
          </cell>
          <cell r="BL84">
            <v>59.254237288135592</v>
          </cell>
          <cell r="BM84">
            <v>50.071856857333202</v>
          </cell>
          <cell r="BN84">
            <v>54.856419696272432</v>
          </cell>
          <cell r="BO84">
            <v>51.758428220584953</v>
          </cell>
          <cell r="BP84">
            <v>52.565840345690241</v>
          </cell>
          <cell r="BQ84">
            <v>54.846850928862708</v>
          </cell>
        </row>
      </sheetData>
      <sheetData sheetId="2"/>
      <sheetData sheetId="3"/>
      <sheetData sheetId="4">
        <row r="3">
          <cell r="BU3" t="str">
            <v>增值税</v>
          </cell>
          <cell r="BV3" t="str">
            <v>消费税</v>
          </cell>
          <cell r="BW3" t="str">
            <v>企业
所得税</v>
          </cell>
          <cell r="BX3" t="str">
            <v>个人所得税</v>
          </cell>
          <cell r="BY3" t="str">
            <v>进口环节税收</v>
          </cell>
          <cell r="BZ3" t="str">
            <v>关税</v>
          </cell>
          <cell r="CA3" t="str">
            <v>出口退税</v>
          </cell>
          <cell r="CB3" t="str">
            <v>城建税</v>
          </cell>
          <cell r="CC3" t="str">
            <v>土地
增值税</v>
          </cell>
          <cell r="CD3" t="str">
            <v>房产税</v>
          </cell>
          <cell r="CE3" t="str">
            <v>耕地
占用税</v>
          </cell>
          <cell r="CF3" t="str">
            <v>城镇土地使用税</v>
          </cell>
          <cell r="CG3" t="str">
            <v>契税</v>
          </cell>
          <cell r="CH3" t="str">
            <v>车辆购置税</v>
          </cell>
        </row>
        <row r="100">
          <cell r="B100">
            <v>46173</v>
          </cell>
          <cell r="CI100">
            <v>7.8981723237598001</v>
          </cell>
          <cell r="CJ100">
            <v>-2.0374898125509411</v>
          </cell>
          <cell r="CK100">
            <v>3.2552954292084824</v>
          </cell>
          <cell r="CL100">
            <v>12.374581939799324</v>
          </cell>
          <cell r="CM100">
            <v>7.1618037135278589</v>
          </cell>
          <cell r="CN100">
            <v>-11.792452830188683</v>
          </cell>
          <cell r="CO100">
            <v>1.9119351100811199</v>
          </cell>
          <cell r="CP100">
            <v>6.4425770308123242</v>
          </cell>
          <cell r="CQ100">
            <v>-3.0837004405286361</v>
          </cell>
          <cell r="CR100">
            <v>6.2283737024221519</v>
          </cell>
          <cell r="CS100">
            <v>-4.3010752688172005</v>
          </cell>
          <cell r="CT100">
            <v>2.39520958083832</v>
          </cell>
          <cell r="CU100">
            <v>-12.084592145015105</v>
          </cell>
          <cell r="CV100">
            <v>10.000000000000009</v>
          </cell>
        </row>
        <row r="101">
          <cell r="B101">
            <v>46203</v>
          </cell>
          <cell r="CI101">
            <v>4.9251307955980428</v>
          </cell>
          <cell r="CJ101">
            <v>-5.2757793764988019</v>
          </cell>
          <cell r="CK101">
            <v>29.70168612191959</v>
          </cell>
          <cell r="CL101">
            <v>17.042971595047351</v>
          </cell>
          <cell r="CM101">
            <v>18.670248488918737</v>
          </cell>
          <cell r="CN101">
            <v>3.0612244897959107</v>
          </cell>
          <cell r="CO101">
            <v>11.897106109324751</v>
          </cell>
          <cell r="CP101">
            <v>3.937007874015741</v>
          </cell>
          <cell r="CQ101">
            <v>-19.841269841269838</v>
          </cell>
          <cell r="CR101">
            <v>-4.2904290429042868</v>
          </cell>
          <cell r="CS101">
            <v>-10.138248847926267</v>
          </cell>
          <cell r="CT101">
            <v>-3.0927835051546393</v>
          </cell>
          <cell r="CU101">
            <v>-14.558472553699286</v>
          </cell>
          <cell r="CV101">
            <v>18.644067796610166</v>
          </cell>
        </row>
      </sheetData>
      <sheetData sheetId="5"/>
      <sheetData sheetId="6">
        <row r="16">
          <cell r="AS16">
            <v>52.514835659995576</v>
          </cell>
          <cell r="AT16">
            <v>46.968327617510589</v>
          </cell>
          <cell r="AU16">
            <v>48.64704941628019</v>
          </cell>
          <cell r="AV16">
            <v>48.249695835283106</v>
          </cell>
          <cell r="AW16">
            <v>48.665358194308141</v>
          </cell>
          <cell r="AX16">
            <v>47.837402360853268</v>
          </cell>
          <cell r="AY16">
            <v>47.565192505176675</v>
          </cell>
          <cell r="AZ16">
            <v>47.760413195601465</v>
          </cell>
        </row>
      </sheetData>
      <sheetData sheetId="7">
        <row r="2">
          <cell r="BA2" t="str">
            <v>教育</v>
          </cell>
          <cell r="BB2" t="str">
            <v>科技</v>
          </cell>
          <cell r="BC2" t="str">
            <v>文体传媒</v>
          </cell>
          <cell r="BD2" t="str">
            <v>社保就业</v>
          </cell>
          <cell r="BE2" t="str">
            <v>卫健</v>
          </cell>
          <cell r="BF2" t="str">
            <v>节能环保</v>
          </cell>
          <cell r="BG2" t="str">
            <v>城乡社区</v>
          </cell>
          <cell r="BH2" t="str">
            <v>农林水</v>
          </cell>
          <cell r="BI2" t="str">
            <v>交运</v>
          </cell>
          <cell r="BJ2" t="str">
            <v>债务付息</v>
          </cell>
        </row>
        <row r="230">
          <cell r="B230">
            <v>46173</v>
          </cell>
          <cell r="BK230">
            <v>-0.50437121721587097</v>
          </cell>
          <cell r="BL230">
            <v>12.957317073170739</v>
          </cell>
          <cell r="BM230">
            <v>-19.852941176470583</v>
          </cell>
          <cell r="BN230">
            <v>1.3429106808244828</v>
          </cell>
          <cell r="BO230">
            <v>10.739191073919097</v>
          </cell>
          <cell r="BP230">
            <v>-19.062500000000004</v>
          </cell>
          <cell r="BQ230">
            <v>-9.745762711864403</v>
          </cell>
          <cell r="BR230">
            <v>-15.684830633284241</v>
          </cell>
          <cell r="BS230">
            <v>-5.031446540880502</v>
          </cell>
          <cell r="BT230">
            <v>1.5989340439706901</v>
          </cell>
        </row>
        <row r="231">
          <cell r="B231">
            <v>46203</v>
          </cell>
          <cell r="BK231">
            <v>5.3872889771598764</v>
          </cell>
          <cell r="BL231">
            <v>2.6248941574936513</v>
          </cell>
          <cell r="BM231">
            <v>-1.1235955056179803</v>
          </cell>
          <cell r="BN231">
            <v>13.168539325842698</v>
          </cell>
          <cell r="BO231">
            <v>8.7760910815939184</v>
          </cell>
          <cell r="BP231">
            <v>-15.664845173041897</v>
          </cell>
          <cell r="BQ231">
            <v>0</v>
          </cell>
          <cell r="BR231">
            <v>-1.8082565677243312</v>
          </cell>
          <cell r="BS231">
            <v>1.7064846416382284</v>
          </cell>
          <cell r="BT231">
            <v>1.5450643776824036</v>
          </cell>
        </row>
      </sheetData>
      <sheetData sheetId="8">
        <row r="7">
          <cell r="BO7">
            <v>2019</v>
          </cell>
          <cell r="BP7">
            <v>2020</v>
          </cell>
          <cell r="BQ7">
            <v>2021</v>
          </cell>
          <cell r="BR7">
            <v>2022</v>
          </cell>
          <cell r="BS7">
            <v>2023</v>
          </cell>
          <cell r="BT7">
            <v>2024</v>
          </cell>
          <cell r="BU7">
            <v>2025</v>
          </cell>
          <cell r="BV7">
            <v>2026</v>
          </cell>
        </row>
        <row r="33">
          <cell r="BO33">
            <v>40.772204853741052</v>
          </cell>
          <cell r="BP33">
            <v>38.650124837238884</v>
          </cell>
          <cell r="BQ33">
            <v>41.340735551530358</v>
          </cell>
          <cell r="BR33">
            <v>28.354566308858562</v>
          </cell>
          <cell r="BS33">
            <v>30.070397940895411</v>
          </cell>
          <cell r="BT33">
            <v>28.127716640972963</v>
          </cell>
          <cell r="BU33">
            <v>31.107652927426624</v>
          </cell>
          <cell r="BV33">
            <v>26.248359692754377</v>
          </cell>
        </row>
        <row r="82">
          <cell r="BO82">
            <v>37.223807365243808</v>
          </cell>
          <cell r="BP82">
            <v>35.847377956812046</v>
          </cell>
          <cell r="BQ82">
            <v>31.76685706415094</v>
          </cell>
          <cell r="BR82">
            <v>39.445623015074176</v>
          </cell>
          <cell r="BS82">
            <v>36.64030557380751</v>
          </cell>
          <cell r="BT82">
            <v>29.617970692693941</v>
          </cell>
          <cell r="BU82">
            <v>37.052767182617224</v>
          </cell>
          <cell r="BV82">
            <v>32.617622111722412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财通">
    <a:dk1>
      <a:srgbClr val="000000"/>
    </a:dk1>
    <a:lt1>
      <a:srgbClr val="FFFFFF"/>
    </a:lt1>
    <a:dk2>
      <a:srgbClr val="44546A"/>
    </a:dk2>
    <a:lt2>
      <a:srgbClr val="E7E6E6"/>
    </a:lt2>
    <a:accent1>
      <a:srgbClr val="B34845"/>
    </a:accent1>
    <a:accent2>
      <a:srgbClr val="D99D25"/>
    </a:accent2>
    <a:accent3>
      <a:srgbClr val="6995A8"/>
    </a:accent3>
    <a:accent4>
      <a:srgbClr val="A8A865"/>
    </a:accent4>
    <a:accent5>
      <a:srgbClr val="5A5F95"/>
    </a:accent5>
    <a:accent6>
      <a:srgbClr val="5492DB"/>
    </a:accent6>
    <a:hlink>
      <a:srgbClr val="D1281F"/>
    </a:hlink>
    <a:folHlink>
      <a:srgbClr val="92050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财通">
    <a:dk1>
      <a:srgbClr val="000000"/>
    </a:dk1>
    <a:lt1>
      <a:srgbClr val="FFFFFF"/>
    </a:lt1>
    <a:dk2>
      <a:srgbClr val="44546A"/>
    </a:dk2>
    <a:lt2>
      <a:srgbClr val="E7E6E6"/>
    </a:lt2>
    <a:accent1>
      <a:srgbClr val="B34845"/>
    </a:accent1>
    <a:accent2>
      <a:srgbClr val="D99D25"/>
    </a:accent2>
    <a:accent3>
      <a:srgbClr val="6995A8"/>
    </a:accent3>
    <a:accent4>
      <a:srgbClr val="A8A865"/>
    </a:accent4>
    <a:accent5>
      <a:srgbClr val="5A5F95"/>
    </a:accent5>
    <a:accent6>
      <a:srgbClr val="5492DB"/>
    </a:accent6>
    <a:hlink>
      <a:srgbClr val="D1281F"/>
    </a:hlink>
    <a:folHlink>
      <a:srgbClr val="92050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CD3784-2937-4350-825D-83542ACF4916}">
  <we:reference id="wa200006259" version="1.0.0.6" store="zh-CN" storeType="OMEX"/>
  <we:alternateReferences>
    <we:reference id="WA200006259" version="1.0.0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A931-4253-4083-8D08-C772F93BCEE4}">
  <dimension ref="A1:AI125"/>
  <sheetViews>
    <sheetView tabSelected="1" topLeftCell="B1" zoomScale="55" zoomScaleNormal="55" workbookViewId="0">
      <selection activeCell="X15" sqref="X15"/>
    </sheetView>
  </sheetViews>
  <sheetFormatPr defaultRowHeight="14" x14ac:dyDescent="0.25"/>
  <cols>
    <col min="1" max="1" width="19.54296875" customWidth="1"/>
    <col min="4" max="9" width="10.26953125" bestFit="1" customWidth="1"/>
    <col min="10" max="12" width="11.36328125" bestFit="1" customWidth="1"/>
    <col min="13" max="19" width="10.26953125" bestFit="1" customWidth="1"/>
    <col min="21" max="21" width="11.1796875" customWidth="1"/>
    <col min="23" max="31" width="13.1796875" bestFit="1" customWidth="1"/>
    <col min="32" max="32" width="12" bestFit="1" customWidth="1"/>
    <col min="33" max="33" width="13.1796875" bestFit="1" customWidth="1"/>
    <col min="34" max="34" width="12" bestFit="1" customWidth="1"/>
    <col min="35" max="35" width="13.1796875" bestFit="1" customWidth="1"/>
    <col min="36" max="41" width="10.81640625" bestFit="1" customWidth="1"/>
  </cols>
  <sheetData>
    <row r="1" spans="1:35" x14ac:dyDescent="0.25">
      <c r="A1" s="39" t="s">
        <v>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4"/>
      <c r="U1" s="4"/>
      <c r="V1" s="40"/>
      <c r="W1" s="41" t="s">
        <v>25</v>
      </c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ht="21" x14ac:dyDescent="0.25">
      <c r="A2" s="5" t="s">
        <v>1</v>
      </c>
      <c r="B2" s="6" t="s">
        <v>2</v>
      </c>
      <c r="C2" s="7"/>
      <c r="D2" s="8">
        <f>[1]物价数据快报!E5</f>
        <v>46203</v>
      </c>
      <c r="E2" s="8">
        <f>[1]物价数据快报!F5</f>
        <v>46173</v>
      </c>
      <c r="F2" s="8">
        <f>[1]物价数据快报!G5</f>
        <v>46142</v>
      </c>
      <c r="G2" s="8">
        <f>[1]物价数据快报!H5</f>
        <v>46112</v>
      </c>
      <c r="H2" s="8">
        <f>[1]物价数据快报!I5</f>
        <v>46081</v>
      </c>
      <c r="I2" s="8">
        <f>[1]物价数据快报!J5</f>
        <v>46053</v>
      </c>
      <c r="J2" s="8">
        <f>[1]物价数据快报!K5</f>
        <v>46022</v>
      </c>
      <c r="K2" s="8">
        <f>[1]物价数据快报!L5</f>
        <v>45991</v>
      </c>
      <c r="L2" s="8">
        <f>[1]物价数据快报!M5</f>
        <v>45961</v>
      </c>
      <c r="M2" s="8">
        <f>[1]物价数据快报!N5</f>
        <v>45930</v>
      </c>
      <c r="N2" s="8">
        <f>[1]物价数据快报!O5</f>
        <v>45900</v>
      </c>
      <c r="O2" s="8">
        <f>[1]物价数据快报!P5</f>
        <v>45869</v>
      </c>
      <c r="P2" s="8">
        <f>[1]物价数据快报!Q5</f>
        <v>45838</v>
      </c>
      <c r="Q2" s="8">
        <f>[1]物价数据快报!R5</f>
        <v>45808</v>
      </c>
      <c r="R2" s="8">
        <f>[1]物价数据快报!S5</f>
        <v>45777</v>
      </c>
      <c r="S2" s="8">
        <f>[1]物价数据快报!T5</f>
        <v>45747</v>
      </c>
      <c r="T2" s="4"/>
      <c r="U2" s="50" t="s">
        <v>13</v>
      </c>
      <c r="V2" s="40"/>
      <c r="W2" s="43">
        <f>[2]一图!E10</f>
        <v>46203</v>
      </c>
      <c r="X2" s="43">
        <f>[2]一图!F10</f>
        <v>46173</v>
      </c>
      <c r="Y2" s="43">
        <f>[2]一图!G10</f>
        <v>46142</v>
      </c>
      <c r="Z2" s="43">
        <f>[2]一图!H10</f>
        <v>46112</v>
      </c>
      <c r="AA2" s="43">
        <f>[2]一图!I10</f>
        <v>46081</v>
      </c>
      <c r="AB2" s="43">
        <f>[2]一图!J10</f>
        <v>46022</v>
      </c>
      <c r="AC2" s="43">
        <f>[2]一图!K10</f>
        <v>45991</v>
      </c>
      <c r="AD2" s="43">
        <f>[2]一图!L10</f>
        <v>45961</v>
      </c>
      <c r="AE2" s="43">
        <f>[2]一图!M10</f>
        <v>45930</v>
      </c>
      <c r="AF2" s="43">
        <f>[2]一图!N10</f>
        <v>45900</v>
      </c>
      <c r="AG2" s="43">
        <f>[2]一图!O10</f>
        <v>45869</v>
      </c>
      <c r="AH2" s="43">
        <f>[2]一图!P10</f>
        <v>45838</v>
      </c>
      <c r="AI2" s="43">
        <f>[2]一图!Q10</f>
        <v>45808</v>
      </c>
    </row>
    <row r="3" spans="1:35" ht="23" x14ac:dyDescent="0.25">
      <c r="A3" s="9" t="s">
        <v>3</v>
      </c>
      <c r="B3" s="10">
        <f>C3</f>
        <v>-0.19999999999999996</v>
      </c>
      <c r="C3" s="11">
        <f>D3-E3</f>
        <v>-0.19999999999999996</v>
      </c>
      <c r="D3" s="4">
        <f>[1]物价数据快报!E6</f>
        <v>1</v>
      </c>
      <c r="E3" s="4">
        <f>[1]物价数据快报!F6</f>
        <v>1.2</v>
      </c>
      <c r="F3" s="4">
        <f>[1]物价数据快报!G6</f>
        <v>1.2</v>
      </c>
      <c r="G3" s="4">
        <f>[1]物价数据快报!H6</f>
        <v>1</v>
      </c>
      <c r="H3" s="4">
        <f>[1]物价数据快报!I6</f>
        <v>1.3</v>
      </c>
      <c r="I3" s="4">
        <f>[1]物价数据快报!J6</f>
        <v>0.2</v>
      </c>
      <c r="J3" s="4">
        <f>[1]物价数据快报!K6</f>
        <v>0.8</v>
      </c>
      <c r="K3" s="4">
        <f>[1]物价数据快报!L6</f>
        <v>0.7</v>
      </c>
      <c r="L3" s="4">
        <f>[1]物价数据快报!M6</f>
        <v>0.2</v>
      </c>
      <c r="M3" s="4">
        <f>[1]物价数据快报!N6</f>
        <v>-0.3</v>
      </c>
      <c r="N3" s="4">
        <f>[1]物价数据快报!O6</f>
        <v>-0.4</v>
      </c>
      <c r="O3" s="4">
        <f>[1]物价数据快报!P6</f>
        <v>0</v>
      </c>
      <c r="P3" s="4">
        <f>[1]物价数据快报!Q6</f>
        <v>0.1</v>
      </c>
      <c r="Q3" s="4">
        <f>[1]物价数据快报!R6</f>
        <v>-0.1</v>
      </c>
      <c r="R3" s="4">
        <f>[1]物价数据快报!S6</f>
        <v>-0.1</v>
      </c>
      <c r="S3" s="4">
        <f>[1]物价数据快报!T6</f>
        <v>-0.1</v>
      </c>
      <c r="T3" s="4"/>
      <c r="U3" s="51">
        <f>X3-W3</f>
        <v>-2.0676533782082904</v>
      </c>
      <c r="V3" s="44" t="s">
        <v>14</v>
      </c>
      <c r="W3" s="45">
        <f>[2]一图!E11</f>
        <v>8.6522726072955756</v>
      </c>
      <c r="X3" s="45">
        <f>[2]一图!F11</f>
        <v>6.5846192290872851</v>
      </c>
      <c r="Y3" s="45">
        <f>[2]一图!G11</f>
        <v>6.6774367259019973</v>
      </c>
      <c r="Z3" s="45">
        <f>[2]一图!H11</f>
        <v>6.8940182452703169</v>
      </c>
      <c r="AA3" s="45">
        <f>[2]一图!I11</f>
        <v>0.67949653411163435</v>
      </c>
      <c r="AB3" s="45">
        <f>[2]一图!J11</f>
        <v>-24.9516721438237</v>
      </c>
      <c r="AC3" s="45">
        <f>[2]一图!K11</f>
        <v>-2.138427542947019E-2</v>
      </c>
      <c r="AD3" s="45">
        <f>[2]一图!L11</f>
        <v>3.1566462913967808</v>
      </c>
      <c r="AE3" s="45">
        <f>[2]一图!M11</f>
        <v>2.5845710920630705</v>
      </c>
      <c r="AF3" s="45">
        <f>[2]一图!N11</f>
        <v>2.030875918434738</v>
      </c>
      <c r="AG3" s="45">
        <f>[2]一图!O11</f>
        <v>2.6481012658227776</v>
      </c>
      <c r="AH3" s="45">
        <f>[2]一图!P11</f>
        <v>-0.30524709225829838</v>
      </c>
      <c r="AI3" s="45">
        <f>[2]一图!Q11</f>
        <v>0.13136494432628432</v>
      </c>
    </row>
    <row r="4" spans="1:35" ht="23" x14ac:dyDescent="0.25">
      <c r="A4" s="12" t="s">
        <v>4</v>
      </c>
      <c r="B4" s="10">
        <f t="shared" ref="B4:B16" si="0">C4</f>
        <v>-0.10000000000000009</v>
      </c>
      <c r="C4" s="11">
        <f t="shared" ref="C4:C16" si="1">D4-E4</f>
        <v>-0.10000000000000009</v>
      </c>
      <c r="D4" s="4">
        <f>[1]物价数据快报!E7</f>
        <v>1</v>
      </c>
      <c r="E4" s="4">
        <f>[1]物价数据快报!F7</f>
        <v>1.1000000000000001</v>
      </c>
      <c r="F4" s="4">
        <f>[1]物价数据快报!G7</f>
        <v>1.2</v>
      </c>
      <c r="G4" s="4">
        <f>[1]物价数据快报!H7</f>
        <v>1.1000000000000001</v>
      </c>
      <c r="H4" s="4">
        <f>[1]物价数据快报!I7</f>
        <v>1.8</v>
      </c>
      <c r="I4" s="4">
        <f>[1]物价数据快报!J7</f>
        <v>0.8</v>
      </c>
      <c r="J4" s="4">
        <f>[1]物价数据快报!K7</f>
        <v>1.2</v>
      </c>
      <c r="K4" s="4">
        <f>[1]物价数据快报!L7</f>
        <v>1.2</v>
      </c>
      <c r="L4" s="4">
        <f>[1]物价数据快报!M7</f>
        <v>1.2</v>
      </c>
      <c r="M4" s="4">
        <f>[1]物价数据快报!N7</f>
        <v>1</v>
      </c>
      <c r="N4" s="4">
        <f>[1]物价数据快报!O7</f>
        <v>0.9</v>
      </c>
      <c r="O4" s="4">
        <f>[1]物价数据快报!P7</f>
        <v>0.8</v>
      </c>
      <c r="P4" s="4">
        <f>[1]物价数据快报!Q7</f>
        <v>0.7</v>
      </c>
      <c r="Q4" s="4">
        <f>[1]物价数据快报!R7</f>
        <v>0.6</v>
      </c>
      <c r="R4" s="4">
        <f>[1]物价数据快报!S7</f>
        <v>0.5</v>
      </c>
      <c r="S4" s="4">
        <f>[1]物价数据快报!T7</f>
        <v>0.5</v>
      </c>
      <c r="T4" s="4"/>
      <c r="U4" s="51">
        <f t="shared" ref="U4:U13" si="2">X4-W4</f>
        <v>-7.2961355642601635</v>
      </c>
      <c r="V4" s="46" t="s">
        <v>15</v>
      </c>
      <c r="W4" s="45">
        <f>[2]一图!E12</f>
        <v>18.119104603688573</v>
      </c>
      <c r="X4" s="45">
        <f>[2]一图!F12</f>
        <v>10.822969039428409</v>
      </c>
      <c r="Y4" s="45">
        <f>[2]一图!G12</f>
        <v>9.2434347644851922</v>
      </c>
      <c r="Z4" s="45">
        <f>[2]一图!H12</f>
        <v>20.504862404303736</v>
      </c>
      <c r="AA4" s="45">
        <f>[2]一图!I12</f>
        <v>-1.7026514180214392</v>
      </c>
      <c r="AB4" s="45">
        <f>[2]一图!J12</f>
        <v>-50.253301972136775</v>
      </c>
      <c r="AC4" s="45">
        <f>[2]一图!K12</f>
        <v>-4.2318840579710137</v>
      </c>
      <c r="AD4" s="45">
        <f>[2]一图!L12</f>
        <v>2.2929818046788064</v>
      </c>
      <c r="AE4" s="45">
        <f>[2]一图!M12</f>
        <v>3.4651126161600265</v>
      </c>
      <c r="AF4" s="45">
        <f>[2]一图!N12</f>
        <v>2.0299145299145227</v>
      </c>
      <c r="AG4" s="45">
        <f>[2]一图!O12</f>
        <v>2.208752825148963</v>
      </c>
      <c r="AH4" s="45">
        <f>[2]一图!P12</f>
        <v>-1.7973178487487917</v>
      </c>
      <c r="AI4" s="45">
        <f>[2]一图!Q12</f>
        <v>0.39851222104143602</v>
      </c>
    </row>
    <row r="5" spans="1:35" ht="23" x14ac:dyDescent="0.25">
      <c r="A5" s="12" t="s">
        <v>5</v>
      </c>
      <c r="B5" s="10">
        <f t="shared" si="0"/>
        <v>9.9999999999999867E-2</v>
      </c>
      <c r="C5" s="11">
        <f t="shared" si="1"/>
        <v>9.9999999999999867E-2</v>
      </c>
      <c r="D5" s="4">
        <f>[1]物价数据快报!E8</f>
        <v>-1.6</v>
      </c>
      <c r="E5" s="4">
        <f>[1]物价数据快报!F8</f>
        <v>-1.7</v>
      </c>
      <c r="F5" s="4">
        <f>[1]物价数据快报!G8</f>
        <v>-1.6</v>
      </c>
      <c r="G5" s="4">
        <f>[1]物价数据快报!H8</f>
        <v>0.3</v>
      </c>
      <c r="H5" s="4">
        <f>[1]物价数据快报!I8</f>
        <v>1.7</v>
      </c>
      <c r="I5" s="4">
        <f>[1]物价数据快报!J8</f>
        <v>-0.7</v>
      </c>
      <c r="J5" s="4">
        <f>[1]物价数据快报!K8</f>
        <v>1.1000000000000001</v>
      </c>
      <c r="K5" s="4">
        <f>[1]物价数据快报!L8</f>
        <v>0.2</v>
      </c>
      <c r="L5" s="4">
        <f>[1]物价数据快报!M8</f>
        <v>-2.9</v>
      </c>
      <c r="M5" s="4">
        <f>[1]物价数据快报!N8</f>
        <v>-4.4000000000000004</v>
      </c>
      <c r="N5" s="4">
        <f>[1]物价数据快报!O8</f>
        <v>-4.3</v>
      </c>
      <c r="O5" s="4">
        <f>[1]物价数据快报!P8</f>
        <v>-1.6</v>
      </c>
      <c r="P5" s="4">
        <f>[1]物价数据快报!Q8</f>
        <v>-0.3</v>
      </c>
      <c r="Q5" s="4">
        <f>[1]物价数据快报!R8</f>
        <v>-0.4</v>
      </c>
      <c r="R5" s="4">
        <f>[1]物价数据快报!S8</f>
        <v>-0.2</v>
      </c>
      <c r="S5" s="4">
        <f>[1]物价数据快报!T8</f>
        <v>-1.4</v>
      </c>
      <c r="T5" s="4"/>
      <c r="U5" s="51">
        <f t="shared" si="2"/>
        <v>-0.17974300492940021</v>
      </c>
      <c r="V5" s="46" t="s">
        <v>16</v>
      </c>
      <c r="W5" s="45">
        <f>[2]一图!E13</f>
        <v>2.9729729729729648</v>
      </c>
      <c r="X5" s="45">
        <f>[2]一图!F13</f>
        <v>2.7932299680435646</v>
      </c>
      <c r="Y5" s="45">
        <f>[2]一图!G13</f>
        <v>4.4040254824115888</v>
      </c>
      <c r="Z5" s="45">
        <f>[2]一图!H13</f>
        <v>1.1739130434782696</v>
      </c>
      <c r="AA5" s="45">
        <f>[2]一图!I13</f>
        <v>2.5865254341667754</v>
      </c>
      <c r="AB5" s="45">
        <f>[2]一图!J13</f>
        <v>4.0672338659472951</v>
      </c>
      <c r="AC5" s="45">
        <f>[2]一图!K13</f>
        <v>4.0538644971244153</v>
      </c>
      <c r="AD5" s="45">
        <f>[2]一图!L13</f>
        <v>3.9910313901345251</v>
      </c>
      <c r="AE5" s="45">
        <f>[2]一图!M13</f>
        <v>1.9588090441011952</v>
      </c>
      <c r="AF5" s="45">
        <f>[2]一图!N13</f>
        <v>2.0317069416653899</v>
      </c>
      <c r="AG5" s="45">
        <f>[2]一图!O13</f>
        <v>3.0750798722044781</v>
      </c>
      <c r="AH5" s="45">
        <f>[2]一图!P13</f>
        <v>0.611828687967364</v>
      </c>
      <c r="AI5" s="45">
        <f>[2]一图!Q13</f>
        <v>-0.10640813431070928</v>
      </c>
    </row>
    <row r="6" spans="1:35" ht="23" x14ac:dyDescent="0.25">
      <c r="A6" s="13" t="s">
        <v>6</v>
      </c>
      <c r="B6" s="14">
        <f t="shared" si="0"/>
        <v>-0.39999999999999991</v>
      </c>
      <c r="C6" s="15">
        <f t="shared" si="1"/>
        <v>-0.39999999999999991</v>
      </c>
      <c r="D6" s="4">
        <f>[1]物价数据快报!E9</f>
        <v>1.5</v>
      </c>
      <c r="E6" s="4">
        <f>[1]物价数据快报!F9</f>
        <v>1.9</v>
      </c>
      <c r="F6" s="4">
        <f>[1]物价数据快报!G9</f>
        <v>1.8</v>
      </c>
      <c r="G6" s="4">
        <f>[1]物价数据快报!H9</f>
        <v>1.2</v>
      </c>
      <c r="H6" s="4">
        <f>[1]物价数据快报!I9</f>
        <v>1.3</v>
      </c>
      <c r="I6" s="4">
        <f>[1]物价数据快报!J9</f>
        <v>0.4</v>
      </c>
      <c r="J6" s="4">
        <f>[1]物价数据快报!K9</f>
        <v>0.8</v>
      </c>
      <c r="K6" s="4">
        <f>[1]物价数据快报!L9</f>
        <v>0.8</v>
      </c>
      <c r="L6" s="4">
        <f>[1]物价数据快报!M9</f>
        <v>0.9</v>
      </c>
      <c r="M6" s="4">
        <f>[1]物价数据快报!N9</f>
        <v>0.7</v>
      </c>
      <c r="N6" s="4">
        <f>[1]物价数据快报!O9</f>
        <v>0.5</v>
      </c>
      <c r="O6" s="4">
        <f>[1]物价数据快报!P9</f>
        <v>0.3</v>
      </c>
      <c r="P6" s="4">
        <f>[1]物价数据快报!Q9</f>
        <v>0.1</v>
      </c>
      <c r="Q6" s="4">
        <f>[1]物价数据快报!R9</f>
        <v>0</v>
      </c>
      <c r="R6" s="4">
        <f>[1]物价数据快报!S9</f>
        <v>0</v>
      </c>
      <c r="S6" s="4">
        <f>[1]物价数据快报!T9</f>
        <v>0.2</v>
      </c>
      <c r="T6" s="4"/>
      <c r="U6" s="51">
        <f t="shared" si="2"/>
        <v>-4.0573015309765195</v>
      </c>
      <c r="V6" s="46" t="s">
        <v>17</v>
      </c>
      <c r="W6" s="45">
        <f>[2]一图!E14</f>
        <v>10.822007413329459</v>
      </c>
      <c r="X6" s="45">
        <f>[2]一图!F14</f>
        <v>6.7647058823529393</v>
      </c>
      <c r="Y6" s="45">
        <f>[2]一图!G14</f>
        <v>8.207224124599577</v>
      </c>
      <c r="Z6" s="45">
        <f>[2]一图!H14</f>
        <v>9.107287631744887</v>
      </c>
      <c r="AA6" s="45">
        <f>[2]一图!I14</f>
        <v>0.12104872211065043</v>
      </c>
      <c r="AB6" s="45">
        <f>[2]一图!J14</f>
        <v>-11.501915708812261</v>
      </c>
      <c r="AC6" s="45">
        <f>[2]一图!K14</f>
        <v>2.7827648114901349</v>
      </c>
      <c r="AD6" s="45">
        <f>[2]一图!L14</f>
        <v>8.564535585042222</v>
      </c>
      <c r="AE6" s="45">
        <f>[2]一图!M14</f>
        <v>8.661786786786795</v>
      </c>
      <c r="AF6" s="45">
        <f>[2]一图!N14</f>
        <v>3.3913840513290605</v>
      </c>
      <c r="AG6" s="45">
        <f>[2]一图!O14</f>
        <v>5.0000000000000044</v>
      </c>
      <c r="AH6" s="45">
        <f>[2]一图!P14</f>
        <v>1.0353943310324576</v>
      </c>
      <c r="AI6" s="45">
        <f>[2]一图!Q14</f>
        <v>0.56196391600118467</v>
      </c>
    </row>
    <row r="7" spans="1:35" ht="23" x14ac:dyDescent="0.25">
      <c r="A7" s="9" t="s">
        <v>7</v>
      </c>
      <c r="B7" s="10">
        <f t="shared" si="0"/>
        <v>-0.19999999999999998</v>
      </c>
      <c r="C7" s="11">
        <f t="shared" si="1"/>
        <v>-0.19999999999999998</v>
      </c>
      <c r="D7" s="4">
        <f>[1]物价数据快报!E10</f>
        <v>-0.3</v>
      </c>
      <c r="E7" s="4">
        <f>[1]物价数据快报!F10</f>
        <v>-0.1</v>
      </c>
      <c r="F7" s="4">
        <f>[1]物价数据快报!G10</f>
        <v>0.3</v>
      </c>
      <c r="G7" s="4">
        <f>[1]物价数据快报!H10</f>
        <v>-0.7</v>
      </c>
      <c r="H7" s="4">
        <f>[1]物价数据快报!I10</f>
        <v>1</v>
      </c>
      <c r="I7" s="4">
        <f>[1]物价数据快报!J10</f>
        <v>0.2</v>
      </c>
      <c r="J7" s="4">
        <f>[1]物价数据快报!K10</f>
        <v>0.2</v>
      </c>
      <c r="K7" s="4">
        <f>[1]物价数据快报!L10</f>
        <v>-0.1</v>
      </c>
      <c r="L7" s="4">
        <f>[1]物价数据快报!M10</f>
        <v>0.2</v>
      </c>
      <c r="M7" s="4">
        <f>[1]物价数据快报!N10</f>
        <v>0.1</v>
      </c>
      <c r="N7" s="4">
        <f>[1]物价数据快报!O10</f>
        <v>0</v>
      </c>
      <c r="O7" s="4">
        <f>[1]物价数据快报!P10</f>
        <v>0.4</v>
      </c>
      <c r="P7" s="4">
        <f>[1]物价数据快报!Q10</f>
        <v>-0.1</v>
      </c>
      <c r="Q7" s="4">
        <f>[1]物价数据快报!R10</f>
        <v>-0.2</v>
      </c>
      <c r="R7" s="4">
        <f>[1]物价数据快报!S10</f>
        <v>0.1</v>
      </c>
      <c r="S7" s="4">
        <f>[1]物价数据快报!T10</f>
        <v>-0.4</v>
      </c>
      <c r="T7" s="4"/>
      <c r="U7" s="51">
        <f t="shared" si="2"/>
        <v>2.6735774515687316</v>
      </c>
      <c r="V7" s="47" t="s">
        <v>18</v>
      </c>
      <c r="W7" s="45">
        <f>[2]一图!E15</f>
        <v>2.8935185185185119</v>
      </c>
      <c r="X7" s="45">
        <f>[2]一图!F15</f>
        <v>5.5670959700872436</v>
      </c>
      <c r="Y7" s="45">
        <f>[2]一图!G15</f>
        <v>-5.2563550193881925</v>
      </c>
      <c r="Z7" s="45">
        <f>[2]一图!H15</f>
        <v>2.1980122324158913</v>
      </c>
      <c r="AA7" s="45">
        <f>[2]一图!I15</f>
        <v>3.383508725189821</v>
      </c>
      <c r="AB7" s="45">
        <f>[2]一图!J15</f>
        <v>-47.919392829102328</v>
      </c>
      <c r="AC7" s="45">
        <f>[2]一图!K15</f>
        <v>-10.834198684665974</v>
      </c>
      <c r="AD7" s="45">
        <f>[2]一图!L15</f>
        <v>-32.959719789842381</v>
      </c>
      <c r="AE7" s="45">
        <f>[2]一图!M15</f>
        <v>-11.411281607953317</v>
      </c>
      <c r="AF7" s="45">
        <f>[2]一图!N15</f>
        <v>-3.7925021795989555</v>
      </c>
      <c r="AG7" s="45">
        <f>[2]一图!O15</f>
        <v>-12.93436293436293</v>
      </c>
      <c r="AH7" s="45">
        <f>[2]一图!P15</f>
        <v>-3.6968233327141053</v>
      </c>
      <c r="AI7" s="45">
        <f>[2]一图!Q15</f>
        <v>-2.2339561332250235</v>
      </c>
    </row>
    <row r="8" spans="1:35" ht="23" x14ac:dyDescent="0.25">
      <c r="A8" s="12" t="s">
        <v>4</v>
      </c>
      <c r="B8" s="10">
        <f t="shared" si="0"/>
        <v>0</v>
      </c>
      <c r="C8" s="11">
        <f t="shared" si="1"/>
        <v>0</v>
      </c>
      <c r="D8" s="4">
        <f>[1]物价数据快报!E11</f>
        <v>-0.1</v>
      </c>
      <c r="E8" s="4">
        <f>[1]物价数据快报!F11</f>
        <v>-0.1</v>
      </c>
      <c r="F8" s="4">
        <f>[1]物价数据快报!G11</f>
        <v>0.2</v>
      </c>
      <c r="G8" s="4">
        <f>[1]物价数据快报!H11</f>
        <v>-0.7</v>
      </c>
      <c r="H8" s="4">
        <f>[1]物价数据快报!I11</f>
        <v>0.7</v>
      </c>
      <c r="I8" s="4">
        <f>[1]物价数据快报!J11</f>
        <v>0.3</v>
      </c>
      <c r="J8" s="4">
        <f>[1]物价数据快报!K11</f>
        <v>0.2</v>
      </c>
      <c r="K8" s="4">
        <f>[1]物价数据快报!L11</f>
        <v>-0.1</v>
      </c>
      <c r="L8" s="4">
        <f>[1]物价数据快报!M11</f>
        <v>0.2</v>
      </c>
      <c r="M8" s="4">
        <f>[1]物价数据快报!N11</f>
        <v>0</v>
      </c>
      <c r="N8" s="4">
        <f>[1]物价数据快报!O11</f>
        <v>0</v>
      </c>
      <c r="O8" s="4">
        <f>[1]物价数据快报!P11</f>
        <v>0.4</v>
      </c>
      <c r="P8" s="4">
        <f>[1]物价数据快报!Q11</f>
        <v>0</v>
      </c>
      <c r="Q8" s="4">
        <f>[1]物价数据快报!R11</f>
        <v>0</v>
      </c>
      <c r="R8" s="4">
        <f>[1]物价数据快报!S11</f>
        <v>0.2</v>
      </c>
      <c r="S8" s="4">
        <f>[1]物价数据快报!T11</f>
        <v>0</v>
      </c>
      <c r="T8" s="4"/>
      <c r="U8" s="51">
        <f t="shared" si="2"/>
        <v>-5.573795335845122</v>
      </c>
      <c r="V8" s="48" t="s">
        <v>19</v>
      </c>
      <c r="W8" s="45">
        <f>[2]一图!E16</f>
        <v>4.0045200932269154</v>
      </c>
      <c r="X8" s="45">
        <f>[2]一图!F16</f>
        <v>-1.5692752426182066</v>
      </c>
      <c r="Y8" s="45">
        <f>[2]一图!G16</f>
        <v>-3.1927188673793738</v>
      </c>
      <c r="Z8" s="45">
        <f>[2]一图!H16</f>
        <v>1.0137450845990159</v>
      </c>
      <c r="AA8" s="45">
        <f>[2]一图!I16</f>
        <v>3.5701614333865539</v>
      </c>
      <c r="AB8" s="45">
        <f>[2]一图!J16</f>
        <v>-1.774564574433124</v>
      </c>
      <c r="AC8" s="45">
        <f>[2]一图!K16</f>
        <v>-3.7095133118534851</v>
      </c>
      <c r="AD8" s="45">
        <f>[2]一图!L16</f>
        <v>-9.7785228080869651</v>
      </c>
      <c r="AE8" s="45">
        <f>[2]一图!M16</f>
        <v>3.0809511853950644</v>
      </c>
      <c r="AF8" s="45">
        <f>[2]一图!N16</f>
        <v>0.82451857879033419</v>
      </c>
      <c r="AG8" s="45">
        <f>[2]一图!O16</f>
        <v>3.0383230997247601</v>
      </c>
      <c r="AH8" s="45">
        <f>[2]一图!P16</f>
        <v>0.37572664114560173</v>
      </c>
      <c r="AI8" s="45">
        <f>[2]一图!Q16</f>
        <v>2.627675354948078</v>
      </c>
    </row>
    <row r="9" spans="1:35" ht="23" x14ac:dyDescent="0.25">
      <c r="A9" s="12" t="s">
        <v>5</v>
      </c>
      <c r="B9" s="10">
        <f t="shared" si="0"/>
        <v>0</v>
      </c>
      <c r="C9" s="11">
        <f t="shared" si="1"/>
        <v>0</v>
      </c>
      <c r="D9" s="4">
        <f>[1]物价数据快报!E12</f>
        <v>-0.4</v>
      </c>
      <c r="E9" s="4">
        <f>[1]物价数据快报!F12</f>
        <v>-0.4</v>
      </c>
      <c r="F9" s="4">
        <f>[1]物价数据快报!G12</f>
        <v>-0.1</v>
      </c>
      <c r="G9" s="4">
        <f>[1]物价数据快报!H12</f>
        <v>0.4</v>
      </c>
      <c r="H9" s="4">
        <f>[1]物价数据快报!I12</f>
        <v>0.5</v>
      </c>
      <c r="I9" s="4">
        <f>[1]物价数据快报!J12</f>
        <v>-0.7</v>
      </c>
      <c r="J9" s="4">
        <f>[1]物价数据快报!K12</f>
        <v>-1.5</v>
      </c>
      <c r="K9" s="4">
        <f>[1]物价数据快报!L12</f>
        <v>-1.7</v>
      </c>
      <c r="L9" s="4">
        <f>[1]物价数据快报!M12</f>
        <v>-1.9</v>
      </c>
      <c r="M9" s="4">
        <f>[1]物价数据快报!N12</f>
        <v>-1.8</v>
      </c>
      <c r="N9" s="4">
        <f>[1]物价数据快报!O12</f>
        <v>-1.4</v>
      </c>
      <c r="O9" s="4">
        <f>[1]物价数据快报!P12</f>
        <v>-1</v>
      </c>
      <c r="P9" s="4">
        <f>[1]物价数据快报!Q12</f>
        <v>-0.9</v>
      </c>
      <c r="Q9" s="4">
        <f>[1]物价数据快报!R12</f>
        <v>-1</v>
      </c>
      <c r="R9" s="4">
        <f>[1]物价数据快报!S12</f>
        <v>-1.1000000000000001</v>
      </c>
      <c r="S9" s="4">
        <f>[1]物价数据快报!T12</f>
        <v>-1.5</v>
      </c>
      <c r="T9" s="4"/>
      <c r="U9" s="51">
        <f t="shared" si="2"/>
        <v>4.4364821657397977</v>
      </c>
      <c r="V9" s="46" t="s">
        <v>20</v>
      </c>
      <c r="W9" s="45">
        <f>[2]一图!E17</f>
        <v>6.8170790878214538</v>
      </c>
      <c r="X9" s="45">
        <f>[2]一图!F17</f>
        <v>11.253561253561251</v>
      </c>
      <c r="Y9" s="45">
        <f>[2]一图!G17</f>
        <v>5.4978962131837283</v>
      </c>
      <c r="Z9" s="45">
        <f>[2]一图!H17</f>
        <v>5.6978417266187131</v>
      </c>
      <c r="AA9" s="45">
        <f>[2]一图!I17</f>
        <v>4.4639450591377416</v>
      </c>
      <c r="AB9" s="45">
        <f>[2]一图!J17</f>
        <v>1.7372881355932179</v>
      </c>
      <c r="AC9" s="45">
        <f>[2]一图!K17</f>
        <v>4.8773189706762476</v>
      </c>
      <c r="AD9" s="45">
        <f>[2]一图!L17</f>
        <v>-0.98509052183173296</v>
      </c>
      <c r="AE9" s="45">
        <f>[2]一图!M17</f>
        <v>3.1613203161320325</v>
      </c>
      <c r="AF9" s="45">
        <f>[2]一图!N17</f>
        <v>2.7566539923954414</v>
      </c>
      <c r="AG9" s="45">
        <f>[2]一图!O17</f>
        <v>7.4283915643688969</v>
      </c>
      <c r="AH9" s="45">
        <f>[2]一图!P17</f>
        <v>7.39968733715477</v>
      </c>
      <c r="AI9" s="45">
        <f>[2]一图!Q17</f>
        <v>11.040809870294211</v>
      </c>
    </row>
    <row r="10" spans="1:35" ht="23" x14ac:dyDescent="0.25">
      <c r="A10" s="13" t="s">
        <v>6</v>
      </c>
      <c r="B10" s="14">
        <f t="shared" si="0"/>
        <v>-1.6</v>
      </c>
      <c r="C10" s="15">
        <f t="shared" si="1"/>
        <v>-1.6</v>
      </c>
      <c r="D10" s="4">
        <f>[1]物价数据快报!E13</f>
        <v>-0.3</v>
      </c>
      <c r="E10" s="4">
        <f>[1]物价数据快报!F13</f>
        <v>1.3</v>
      </c>
      <c r="F10" s="4">
        <f>[1]物价数据快报!G13</f>
        <v>1.1000000000000001</v>
      </c>
      <c r="G10" s="4">
        <f>[1]物价数据快报!H13</f>
        <v>0.9</v>
      </c>
      <c r="H10" s="4">
        <f>[1]物价数据快报!I13</f>
        <v>0.8</v>
      </c>
      <c r="I10" s="4">
        <f>[1]物价数据快报!J13</f>
        <v>0.4</v>
      </c>
      <c r="J10" s="4">
        <f>[1]物价数据快报!K13</f>
        <v>0.4</v>
      </c>
      <c r="K10" s="4">
        <f>[1]物价数据快报!L13</f>
        <v>0.3</v>
      </c>
      <c r="L10" s="4">
        <f>[1]物价数据快报!M13</f>
        <v>0.3</v>
      </c>
      <c r="M10" s="4">
        <f>[1]物价数据快报!N13</f>
        <v>0.2</v>
      </c>
      <c r="N10" s="4">
        <f>[1]物价数据快报!O13</f>
        <v>0.2</v>
      </c>
      <c r="O10" s="4">
        <f>[1]物价数据快报!P13</f>
        <v>0.1</v>
      </c>
      <c r="P10" s="4">
        <f>[1]物价数据快报!Q13</f>
        <v>0.1</v>
      </c>
      <c r="Q10" s="4">
        <f>[1]物价数据快报!R13</f>
        <v>0.1</v>
      </c>
      <c r="R10" s="4">
        <f>[1]物价数据快报!S13</f>
        <v>0.1</v>
      </c>
      <c r="S10" s="4">
        <f>[1]物价数据快报!T13</f>
        <v>0.2</v>
      </c>
      <c r="T10" s="4"/>
      <c r="U10" s="51">
        <f t="shared" si="2"/>
        <v>-7.9321343854757753</v>
      </c>
      <c r="V10" s="47" t="s">
        <v>21</v>
      </c>
      <c r="W10" s="45">
        <f>[2]一图!E18</f>
        <v>3.5253760952223434</v>
      </c>
      <c r="X10" s="45">
        <f>[2]一图!F18</f>
        <v>-4.4067582902534319</v>
      </c>
      <c r="Y10" s="45">
        <f>[2]一图!G18</f>
        <v>-4.9938957037381488</v>
      </c>
      <c r="Z10" s="45">
        <f>[2]一图!H18</f>
        <v>0.34235274707143937</v>
      </c>
      <c r="AA10" s="45">
        <f>[2]一图!I18</f>
        <v>3.4526019972901167</v>
      </c>
      <c r="AB10" s="45">
        <f>[2]一图!J18</f>
        <v>-2.2503516174402272</v>
      </c>
      <c r="AC10" s="45">
        <f>[2]一图!K18</f>
        <v>-5.1269386545490514</v>
      </c>
      <c r="AD10" s="45">
        <f>[2]一图!L18</f>
        <v>-11.851851851851848</v>
      </c>
      <c r="AE10" s="45">
        <f>[2]一图!M18</f>
        <v>3.0662877984647396</v>
      </c>
      <c r="AF10" s="45">
        <f>[2]一图!N18</f>
        <v>0.42542051181360119</v>
      </c>
      <c r="AG10" s="45">
        <f>[2]一图!O18</f>
        <v>2.1508113267578732</v>
      </c>
      <c r="AH10" s="45">
        <f>[2]一图!P18</f>
        <v>-0.73028637072289904</v>
      </c>
      <c r="AI10" s="45">
        <f>[2]一图!Q18</f>
        <v>0.93541202672606794</v>
      </c>
    </row>
    <row r="11" spans="1:35" ht="23" x14ac:dyDescent="0.25">
      <c r="A11" s="16" t="s">
        <v>8</v>
      </c>
      <c r="B11" s="10">
        <f t="shared" si="0"/>
        <v>0.19999999999999973</v>
      </c>
      <c r="C11" s="11">
        <f t="shared" si="1"/>
        <v>0.19999999999999973</v>
      </c>
      <c r="D11" s="4">
        <f>[1]物价数据快报!E14</f>
        <v>4.0999999999999996</v>
      </c>
      <c r="E11" s="4">
        <f>[1]物价数据快报!F14</f>
        <v>3.9</v>
      </c>
      <c r="F11" s="4">
        <f>[1]物价数据快报!G14</f>
        <v>2.8</v>
      </c>
      <c r="G11" s="4">
        <f>[1]物价数据快报!H14</f>
        <v>0.5</v>
      </c>
      <c r="H11" s="4">
        <f>[1]物价数据快报!I14</f>
        <v>-0.9</v>
      </c>
      <c r="I11" s="4">
        <f>[1]物价数据快报!J14</f>
        <v>-1.4</v>
      </c>
      <c r="J11" s="4">
        <f>[1]物价数据快报!K14</f>
        <v>-1.9</v>
      </c>
      <c r="K11" s="4">
        <f>[1]物价数据快报!L14</f>
        <v>-2.2000000000000002</v>
      </c>
      <c r="L11" s="4">
        <f>[1]物价数据快报!M14</f>
        <v>-2.1</v>
      </c>
      <c r="M11" s="4">
        <f>[1]物价数据快报!N14</f>
        <v>-2.2999999999999998</v>
      </c>
      <c r="N11" s="4">
        <f>[1]物价数据快报!O14</f>
        <v>-2.9</v>
      </c>
      <c r="O11" s="4">
        <f>[1]物价数据快报!P14</f>
        <v>-3.6</v>
      </c>
      <c r="P11" s="4">
        <f>[1]物价数据快报!Q14</f>
        <v>-3.6</v>
      </c>
      <c r="Q11" s="4">
        <f>[1]物价数据快报!R14</f>
        <v>-3.3</v>
      </c>
      <c r="R11" s="4">
        <f>[1]物价数据快报!S14</f>
        <v>-2.7</v>
      </c>
      <c r="S11" s="4">
        <f>[1]物价数据快报!T14</f>
        <v>-2.5</v>
      </c>
      <c r="T11" s="4"/>
      <c r="U11" s="51">
        <f t="shared" si="2"/>
        <v>10.881887988401644</v>
      </c>
      <c r="V11" s="44" t="s">
        <v>22</v>
      </c>
      <c r="W11" s="45">
        <f>[2]一图!E19</f>
        <v>-31.144228340490017</v>
      </c>
      <c r="X11" s="45">
        <f>[2]一图!F19</f>
        <v>-20.262340352088373</v>
      </c>
      <c r="Y11" s="45">
        <f>[2]一图!G19</f>
        <v>-26.415094339622641</v>
      </c>
      <c r="Z11" s="45">
        <f>[2]一图!H19</f>
        <v>-16.678297278436844</v>
      </c>
      <c r="AA11" s="45">
        <f>[2]一图!I19</f>
        <v>-15.953612286475476</v>
      </c>
      <c r="AB11" s="45">
        <f>[2]一图!J19</f>
        <v>-11.711072839631242</v>
      </c>
      <c r="AC11" s="45">
        <f>[2]一图!K19</f>
        <v>-15.756607609642757</v>
      </c>
      <c r="AD11" s="45">
        <f>[2]一图!L19</f>
        <v>-18.365572701586615</v>
      </c>
      <c r="AE11" s="45">
        <f>[2]一图!M19</f>
        <v>5.6435643564356468</v>
      </c>
      <c r="AF11" s="45">
        <f>[2]一图!N19</f>
        <v>-5.7005104934770259</v>
      </c>
      <c r="AG11" s="45">
        <f>[2]一图!O19</f>
        <v>8.9349112426035475</v>
      </c>
      <c r="AH11" s="45">
        <f>[2]一图!P19</f>
        <v>20.811718034787916</v>
      </c>
      <c r="AI11" s="45">
        <f>[2]一图!Q19</f>
        <v>-8.1483830057070321</v>
      </c>
    </row>
    <row r="12" spans="1:35" ht="23" x14ac:dyDescent="0.25">
      <c r="A12" s="12" t="s">
        <v>0</v>
      </c>
      <c r="B12" s="10">
        <f t="shared" si="0"/>
        <v>0.29999999999999982</v>
      </c>
      <c r="C12" s="11">
        <f t="shared" si="1"/>
        <v>0.29999999999999982</v>
      </c>
      <c r="D12" s="4">
        <f>[1]物价数据快报!E15</f>
        <v>5.5</v>
      </c>
      <c r="E12" s="4">
        <f>[1]物价数据快报!F15</f>
        <v>5.2</v>
      </c>
      <c r="F12" s="4">
        <f>[1]物价数据快报!G15</f>
        <v>3.8</v>
      </c>
      <c r="G12" s="4">
        <f>[1]物价数据快报!H15</f>
        <v>1</v>
      </c>
      <c r="H12" s="4">
        <f>[1]物价数据快报!I15</f>
        <v>-0.7</v>
      </c>
      <c r="I12" s="4">
        <f>[1]物价数据快报!J15</f>
        <v>-1.3</v>
      </c>
      <c r="J12" s="4">
        <f>[1]物价数据快报!K15</f>
        <v>-2.1</v>
      </c>
      <c r="K12" s="4">
        <f>[1]物价数据快报!L15</f>
        <v>-2.4</v>
      </c>
      <c r="L12" s="4">
        <f>[1]物价数据快报!M15</f>
        <v>-2.4</v>
      </c>
      <c r="M12" s="4">
        <f>[1]物价数据快报!N15</f>
        <v>-2.4</v>
      </c>
      <c r="N12" s="4">
        <f>[1]物价数据快报!O15</f>
        <v>-3.2</v>
      </c>
      <c r="O12" s="4">
        <f>[1]物价数据快报!P15</f>
        <v>-4.3</v>
      </c>
      <c r="P12" s="4">
        <f>[1]物价数据快报!Q15</f>
        <v>-4.4000000000000004</v>
      </c>
      <c r="Q12" s="4">
        <f>[1]物价数据快报!R15</f>
        <v>-4</v>
      </c>
      <c r="R12" s="4">
        <f>[1]物价数据快报!S15</f>
        <v>-3.1</v>
      </c>
      <c r="S12" s="4">
        <f>[1]物价数据快报!T15</f>
        <v>-2.8</v>
      </c>
      <c r="T12" s="4"/>
      <c r="U12" s="51">
        <f t="shared" si="2"/>
        <v>6.3857026426746231</v>
      </c>
      <c r="V12" s="46" t="s">
        <v>23</v>
      </c>
      <c r="W12" s="45">
        <f>[2]一图!E20</f>
        <v>-42.140468227424755</v>
      </c>
      <c r="X12" s="45">
        <f>[2]一图!F20</f>
        <v>-35.754765584750132</v>
      </c>
      <c r="Y12" s="45">
        <f>[2]一图!G20</f>
        <v>-34.765154556403061</v>
      </c>
      <c r="Z12" s="45">
        <f>[2]一图!H20</f>
        <v>-22.612826603325416</v>
      </c>
      <c r="AA12" s="45">
        <f>[2]一图!I20</f>
        <v>-25.231871838111303</v>
      </c>
      <c r="AB12" s="45">
        <f>[2]一图!J20</f>
        <v>-22.858209419523419</v>
      </c>
      <c r="AC12" s="45">
        <f>[2]一图!K20</f>
        <v>-26.84350132625994</v>
      </c>
      <c r="AD12" s="45">
        <f>[2]一图!L20</f>
        <v>-27.252985884907716</v>
      </c>
      <c r="AE12" s="45">
        <f>[2]一图!M20</f>
        <v>-0.97751710654935664</v>
      </c>
      <c r="AF12" s="45">
        <f>[2]一图!N20</f>
        <v>-5.7841140529531572</v>
      </c>
      <c r="AG12" s="45">
        <f>[2]一图!O20</f>
        <v>7.1600000000000108</v>
      </c>
      <c r="AH12" s="45">
        <f>[2]一图!P20</f>
        <v>21.891561353444771</v>
      </c>
      <c r="AI12" s="45">
        <f>[2]一图!Q20</f>
        <v>-14.643799472295512</v>
      </c>
    </row>
    <row r="13" spans="1:35" ht="23" x14ac:dyDescent="0.25">
      <c r="A13" s="13" t="s">
        <v>9</v>
      </c>
      <c r="B13" s="14">
        <f t="shared" si="0"/>
        <v>-9.9999999999999978E-2</v>
      </c>
      <c r="C13" s="15">
        <f t="shared" si="1"/>
        <v>-9.9999999999999978E-2</v>
      </c>
      <c r="D13" s="4">
        <f>[1]物价数据快报!E16</f>
        <v>-0.9</v>
      </c>
      <c r="E13" s="4">
        <f>[1]物价数据快报!F16</f>
        <v>-0.8</v>
      </c>
      <c r="F13" s="4">
        <f>[1]物价数据快报!G16</f>
        <v>-1</v>
      </c>
      <c r="G13" s="4">
        <f>[1]物价数据快报!H16</f>
        <v>-1.3</v>
      </c>
      <c r="H13" s="4">
        <f>[1]物价数据快报!I16</f>
        <v>-1.6</v>
      </c>
      <c r="I13" s="4">
        <f>[1]物价数据快报!J16</f>
        <v>-1.7</v>
      </c>
      <c r="J13" s="4">
        <f>[1]物价数据快报!K16</f>
        <v>-1.3</v>
      </c>
      <c r="K13" s="4">
        <f>[1]物价数据快报!L16</f>
        <v>-1.5</v>
      </c>
      <c r="L13" s="4">
        <f>[1]物价数据快报!M16</f>
        <v>-1.4</v>
      </c>
      <c r="M13" s="4">
        <f>[1]物价数据快报!N16</f>
        <v>-1.7</v>
      </c>
      <c r="N13" s="4">
        <f>[1]物价数据快报!O16</f>
        <v>-1.7</v>
      </c>
      <c r="O13" s="4">
        <f>[1]物价数据快报!P16</f>
        <v>-1.6</v>
      </c>
      <c r="P13" s="4">
        <f>[1]物价数据快报!Q16</f>
        <v>-1.4</v>
      </c>
      <c r="Q13" s="4">
        <f>[1]物价数据快报!R16</f>
        <v>-1.4</v>
      </c>
      <c r="R13" s="4">
        <f>[1]物价数据快报!S16</f>
        <v>-1.6</v>
      </c>
      <c r="S13" s="4">
        <f>[1]物价数据快报!T16</f>
        <v>-1.5</v>
      </c>
      <c r="T13" s="4"/>
      <c r="U13" s="51">
        <f t="shared" si="2"/>
        <v>32.205548311570929</v>
      </c>
      <c r="V13" s="49" t="s">
        <v>24</v>
      </c>
      <c r="W13" s="45">
        <f>[2]一图!E21</f>
        <v>-43.659881255301102</v>
      </c>
      <c r="X13" s="45">
        <f>[2]一图!F21</f>
        <v>-11.454332943730172</v>
      </c>
      <c r="Y13" s="45">
        <f>[2]一图!G21</f>
        <v>-20.779016805402861</v>
      </c>
      <c r="Z13" s="45">
        <f>[2]一图!H21</f>
        <v>-14.243252883129232</v>
      </c>
      <c r="AA13" s="45">
        <f>[2]一图!I21</f>
        <v>15.988730410283502</v>
      </c>
      <c r="AB13" s="45">
        <f>[2]一图!J21</f>
        <v>1.5166340508806275</v>
      </c>
      <c r="AC13" s="45">
        <f>[2]一图!K21</f>
        <v>2.7536364468026653</v>
      </c>
      <c r="AD13" s="45">
        <f>[2]一图!L21</f>
        <v>-38.213065534734447</v>
      </c>
      <c r="AE13" s="45">
        <f>[2]一图!M21</f>
        <v>0.36653905677281884</v>
      </c>
      <c r="AF13" s="45">
        <f>[2]一图!N21</f>
        <v>19.760910269336019</v>
      </c>
      <c r="AG13" s="45">
        <f>[2]一图!O21</f>
        <v>42.369870314443062</v>
      </c>
      <c r="AH13" s="45">
        <f>[2]一图!P21</f>
        <v>79.202026599113367</v>
      </c>
      <c r="AI13" s="45">
        <f>[2]一图!Q21</f>
        <v>8.7722484562295691</v>
      </c>
    </row>
    <row r="14" spans="1:35" ht="21" x14ac:dyDescent="0.25">
      <c r="A14" s="9" t="s">
        <v>10</v>
      </c>
      <c r="B14" s="10">
        <f t="shared" si="0"/>
        <v>-0.8</v>
      </c>
      <c r="C14" s="11">
        <f t="shared" si="1"/>
        <v>-0.8</v>
      </c>
      <c r="D14" s="4">
        <f>[1]物价数据快报!E17</f>
        <v>-0.3</v>
      </c>
      <c r="E14" s="4">
        <f>[1]物价数据快报!F17</f>
        <v>0.5</v>
      </c>
      <c r="F14" s="4">
        <f>[1]物价数据快报!G17</f>
        <v>1.7</v>
      </c>
      <c r="G14" s="4">
        <f>[1]物价数据快报!H17</f>
        <v>1</v>
      </c>
      <c r="H14" s="4">
        <f>[1]物价数据快报!I17</f>
        <v>0.4</v>
      </c>
      <c r="I14" s="4">
        <f>[1]物价数据快报!J17</f>
        <v>0.4</v>
      </c>
      <c r="J14" s="4">
        <f>[1]物价数据快报!K17</f>
        <v>0.2</v>
      </c>
      <c r="K14" s="4">
        <f>[1]物价数据快报!L17</f>
        <v>0.1</v>
      </c>
      <c r="L14" s="4">
        <f>[1]物价数据快报!M17</f>
        <v>0.1</v>
      </c>
      <c r="M14" s="4">
        <f>[1]物价数据快报!N17</f>
        <v>0</v>
      </c>
      <c r="N14" s="4">
        <f>[1]物价数据快报!O17</f>
        <v>0</v>
      </c>
      <c r="O14" s="4">
        <f>[1]物价数据快报!P17</f>
        <v>-0.2</v>
      </c>
      <c r="P14" s="4">
        <f>[1]物价数据快报!Q17</f>
        <v>-0.4</v>
      </c>
      <c r="Q14" s="4">
        <f>[1]物价数据快报!R17</f>
        <v>-0.4</v>
      </c>
      <c r="R14" s="4">
        <f>[1]物价数据快报!S17</f>
        <v>-0.4</v>
      </c>
      <c r="S14" s="4">
        <f>[1]物价数据快报!T17</f>
        <v>-0.4</v>
      </c>
      <c r="T14" s="4"/>
      <c r="U14" s="40"/>
      <c r="V14" s="40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pans="1:35" ht="21" x14ac:dyDescent="0.25">
      <c r="A15" s="12" t="s">
        <v>0</v>
      </c>
      <c r="B15" s="10">
        <f t="shared" si="0"/>
        <v>-1</v>
      </c>
      <c r="C15" s="11">
        <f t="shared" si="1"/>
        <v>-1</v>
      </c>
      <c r="D15" s="4">
        <f>[1]物价数据快报!E18</f>
        <v>-0.3</v>
      </c>
      <c r="E15" s="4">
        <f>[1]物价数据快报!F18</f>
        <v>0.7</v>
      </c>
      <c r="F15" s="4">
        <f>[1]物价数据快报!G18</f>
        <v>2.1</v>
      </c>
      <c r="G15" s="4">
        <f>[1]物价数据快报!H18</f>
        <v>1.3</v>
      </c>
      <c r="H15" s="4">
        <f>[1]物价数据快报!I18</f>
        <v>0.5</v>
      </c>
      <c r="I15" s="4">
        <f>[1]物价数据快报!J18</f>
        <v>0.5</v>
      </c>
      <c r="J15" s="4">
        <f>[1]物价数据快报!K18</f>
        <v>0.3</v>
      </c>
      <c r="K15" s="4">
        <f>[1]物价数据快报!L18</f>
        <v>0.1</v>
      </c>
      <c r="L15" s="4">
        <f>[1]物价数据快报!M18</f>
        <v>0.1</v>
      </c>
      <c r="M15" s="4">
        <f>[1]物价数据快报!N18</f>
        <v>0</v>
      </c>
      <c r="N15" s="4">
        <f>[1]物价数据快报!O18</f>
        <v>0.1</v>
      </c>
      <c r="O15" s="4">
        <f>[1]物价数据快报!P18</f>
        <v>-0.2</v>
      </c>
      <c r="P15" s="4">
        <f>[1]物价数据快报!Q18</f>
        <v>-0.6</v>
      </c>
      <c r="Q15" s="4">
        <f>[1]物价数据快报!R18</f>
        <v>-0.6</v>
      </c>
      <c r="R15" s="4">
        <f>[1]物价数据快报!S18</f>
        <v>-0.5</v>
      </c>
      <c r="S15" s="4">
        <f>[1]物价数据快报!T18</f>
        <v>-0.4</v>
      </c>
      <c r="T15" s="4"/>
      <c r="U15" s="40"/>
      <c r="V15" s="40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</row>
    <row r="16" spans="1:35" ht="21" x14ac:dyDescent="0.25">
      <c r="A16" s="13" t="s">
        <v>9</v>
      </c>
      <c r="B16" s="17">
        <f t="shared" si="0"/>
        <v>-0.3</v>
      </c>
      <c r="C16" s="15">
        <f t="shared" si="1"/>
        <v>-0.3</v>
      </c>
      <c r="D16" s="4">
        <f>[1]物价数据快报!E19</f>
        <v>-0.3</v>
      </c>
      <c r="E16" s="4">
        <f>[1]物价数据快报!F19</f>
        <v>0</v>
      </c>
      <c r="F16" s="4">
        <f>[1]物价数据快报!G19</f>
        <v>-0.1</v>
      </c>
      <c r="G16" s="4">
        <f>[1]物价数据快报!H19</f>
        <v>-0.1</v>
      </c>
      <c r="H16" s="4">
        <f>[1]物价数据快报!I19</f>
        <v>0</v>
      </c>
      <c r="I16" s="4">
        <f>[1]物价数据快报!J19</f>
        <v>0.1</v>
      </c>
      <c r="J16" s="4">
        <f>[1]物价数据快报!K19</f>
        <v>0</v>
      </c>
      <c r="K16" s="4">
        <f>[1]物价数据快报!L19</f>
        <v>0</v>
      </c>
      <c r="L16" s="4">
        <f>[1]物价数据快报!M19</f>
        <v>0</v>
      </c>
      <c r="M16" s="4">
        <f>[1]物价数据快报!N19</f>
        <v>-0.2</v>
      </c>
      <c r="N16" s="4">
        <f>[1]物价数据快报!O19</f>
        <v>-0.1</v>
      </c>
      <c r="O16" s="4">
        <f>[1]物价数据快报!P19</f>
        <v>-0.2</v>
      </c>
      <c r="P16" s="4">
        <f>[1]物价数据快报!Q19</f>
        <v>-0.1</v>
      </c>
      <c r="Q16" s="4">
        <f>[1]物价数据快报!R19</f>
        <v>0</v>
      </c>
      <c r="R16" s="4">
        <f>[1]物价数据快报!S19</f>
        <v>-0.2</v>
      </c>
      <c r="S16" s="4">
        <f>[1]物价数据快报!T19</f>
        <v>-0.4</v>
      </c>
      <c r="T16" s="4"/>
      <c r="U16" s="40"/>
      <c r="V16" s="40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pans="1:35" ht="18" x14ac:dyDescent="0.3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1"/>
      <c r="S17" s="22"/>
      <c r="T17" s="4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</row>
    <row r="18" spans="1:35" x14ac:dyDescent="0.3">
      <c r="A18" s="2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1"/>
      <c r="S18" s="22"/>
      <c r="T18" s="4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</row>
    <row r="19" spans="1:35" x14ac:dyDescent="0.3">
      <c r="A19" s="23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1"/>
      <c r="S19" s="22"/>
      <c r="T19" s="4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</row>
    <row r="20" spans="1:35" x14ac:dyDescent="0.3">
      <c r="A20" s="2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1"/>
      <c r="S20" s="22"/>
      <c r="T20" s="4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</row>
    <row r="21" spans="1:35" x14ac:dyDescent="0.3">
      <c r="A21" s="2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1"/>
      <c r="S21" s="22"/>
      <c r="T21" s="4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</row>
    <row r="22" spans="1:35" x14ac:dyDescent="0.3">
      <c r="A22" s="23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1"/>
      <c r="S22" s="22"/>
      <c r="T22" s="4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</row>
    <row r="23" spans="1:35" x14ac:dyDescent="0.3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1"/>
      <c r="S23" s="22"/>
      <c r="T23" s="4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</row>
    <row r="24" spans="1:35" x14ac:dyDescent="0.3">
      <c r="A24" s="2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1"/>
      <c r="S24" s="22"/>
      <c r="T24" s="4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</row>
    <row r="25" spans="1:35" x14ac:dyDescent="0.3">
      <c r="A25" s="2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1"/>
      <c r="S25" s="22"/>
      <c r="T25" s="4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</row>
    <row r="26" spans="1:35" x14ac:dyDescent="0.3">
      <c r="A26" s="2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1"/>
      <c r="S26" s="22"/>
      <c r="T26" s="4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</row>
    <row r="27" spans="1:35" x14ac:dyDescent="0.3">
      <c r="A27" s="2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1"/>
      <c r="S27" s="22"/>
      <c r="T27" s="4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</row>
    <row r="28" spans="1:35" x14ac:dyDescent="0.3">
      <c r="A28" s="2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1"/>
      <c r="S28" s="22"/>
      <c r="T28" s="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spans="1:35" x14ac:dyDescent="0.3">
      <c r="A29" s="2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1"/>
      <c r="S29" s="22"/>
      <c r="T29" s="4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spans="1:35" x14ac:dyDescent="0.3">
      <c r="A30" s="24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  <c r="T30" s="4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</row>
    <row r="31" spans="1:35" x14ac:dyDescent="0.3">
      <c r="A31" s="24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2"/>
      <c r="T31" s="4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</row>
    <row r="32" spans="1:35" x14ac:dyDescent="0.3">
      <c r="A32" s="2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2"/>
      <c r="T32" s="4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</row>
    <row r="33" spans="1:35" x14ac:dyDescent="0.3">
      <c r="A33" s="2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4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</row>
    <row r="34" spans="1:35" x14ac:dyDescent="0.3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7"/>
      <c r="T34" s="4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</row>
    <row r="35" spans="1:35" x14ac:dyDescent="0.3">
      <c r="A35" s="24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  <c r="T35" s="4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</row>
    <row r="36" spans="1:35" x14ac:dyDescent="0.3">
      <c r="A36" s="24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4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</row>
    <row r="37" spans="1:35" ht="14.5" x14ac:dyDescent="0.3">
      <c r="A37" s="2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8"/>
      <c r="R37" s="21"/>
      <c r="S37" s="22"/>
      <c r="T37" s="4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</row>
    <row r="38" spans="1:35" x14ac:dyDescent="0.3">
      <c r="A38" s="24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2"/>
      <c r="T38" s="4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</row>
    <row r="39" spans="1:35" ht="23" x14ac:dyDescent="0.3">
      <c r="A39" s="24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9"/>
      <c r="T39" s="4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</row>
    <row r="40" spans="1:35" ht="17.5" x14ac:dyDescent="0.3">
      <c r="A40" s="24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30"/>
      <c r="P40" s="21"/>
      <c r="Q40" s="21"/>
      <c r="R40" s="21"/>
      <c r="S40" s="31"/>
      <c r="T40" s="4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</row>
    <row r="41" spans="1:35" x14ac:dyDescent="0.3">
      <c r="A41" s="2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2"/>
      <c r="T41" s="4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</row>
    <row r="42" spans="1:35" x14ac:dyDescent="0.3">
      <c r="A42" s="2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/>
      <c r="T42" s="4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</row>
    <row r="43" spans="1:35" x14ac:dyDescent="0.3">
      <c r="A43" s="2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2"/>
      <c r="T43" s="4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</row>
    <row r="44" spans="1:35" x14ac:dyDescent="0.3">
      <c r="A44" s="2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2"/>
      <c r="T44" s="4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</row>
    <row r="45" spans="1:35" x14ac:dyDescent="0.3">
      <c r="A45" s="2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2"/>
      <c r="T45" s="4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</row>
    <row r="46" spans="1:35" x14ac:dyDescent="0.3">
      <c r="A46" s="2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2"/>
      <c r="T46" s="4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</row>
    <row r="47" spans="1:35" x14ac:dyDescent="0.3">
      <c r="A47" s="2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2"/>
      <c r="T47" s="4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</row>
    <row r="48" spans="1:35" x14ac:dyDescent="0.3">
      <c r="A48" s="24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2"/>
      <c r="T48" s="4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</row>
    <row r="49" spans="1:35" x14ac:dyDescent="0.3">
      <c r="A49" s="2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2"/>
      <c r="T49" s="4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</row>
    <row r="50" spans="1:35" x14ac:dyDescent="0.3">
      <c r="A50" s="24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2"/>
      <c r="T50" s="4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</row>
    <row r="51" spans="1:35" x14ac:dyDescent="0.3">
      <c r="A51" s="24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2"/>
      <c r="T51" s="4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</row>
    <row r="52" spans="1:35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7"/>
      <c r="T52" s="4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</row>
    <row r="53" spans="1:35" x14ac:dyDescent="0.3">
      <c r="A53" s="2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2"/>
      <c r="T53" s="4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</row>
    <row r="54" spans="1:35" x14ac:dyDescent="0.3">
      <c r="A54" s="24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2"/>
      <c r="T54" s="4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</row>
    <row r="55" spans="1:35" x14ac:dyDescent="0.3">
      <c r="A55" s="24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2"/>
      <c r="T55" s="4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</row>
    <row r="56" spans="1:35" x14ac:dyDescent="0.3">
      <c r="A56" s="24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2"/>
      <c r="T56" s="4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</row>
    <row r="57" spans="1:35" x14ac:dyDescent="0.3">
      <c r="A57" s="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2"/>
      <c r="T57" s="4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</row>
    <row r="58" spans="1:35" x14ac:dyDescent="0.3">
      <c r="A58" s="2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2"/>
      <c r="T58" s="4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</row>
    <row r="59" spans="1:35" x14ac:dyDescent="0.3">
      <c r="A59" s="24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2"/>
      <c r="T59" s="4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</row>
    <row r="60" spans="1:35" x14ac:dyDescent="0.3">
      <c r="A60" s="2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2"/>
      <c r="T60" s="4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</row>
    <row r="61" spans="1:35" x14ac:dyDescent="0.3">
      <c r="A61" s="24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2"/>
      <c r="T61" s="4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</row>
    <row r="62" spans="1:35" x14ac:dyDescent="0.3">
      <c r="A62" s="2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2"/>
      <c r="T62" s="4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</row>
    <row r="63" spans="1:35" x14ac:dyDescent="0.3">
      <c r="A63" s="2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2"/>
      <c r="T63" s="4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</row>
    <row r="64" spans="1:35" x14ac:dyDescent="0.3">
      <c r="A64" s="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2"/>
      <c r="T64" s="4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</row>
    <row r="65" spans="1:35" x14ac:dyDescent="0.3">
      <c r="A65" s="2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2"/>
      <c r="T65" s="4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</row>
    <row r="66" spans="1:35" x14ac:dyDescent="0.3">
      <c r="A66" s="24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2"/>
      <c r="T66" s="4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</row>
    <row r="67" spans="1:35" x14ac:dyDescent="0.3">
      <c r="A67" s="24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2"/>
      <c r="T67" s="4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</row>
    <row r="68" spans="1:35" x14ac:dyDescent="0.3">
      <c r="A68" s="2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2"/>
      <c r="T68" s="4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</row>
    <row r="69" spans="1:35" x14ac:dyDescent="0.3">
      <c r="A69" s="2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2"/>
      <c r="T69" s="4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</row>
    <row r="70" spans="1:35" x14ac:dyDescent="0.3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7"/>
      <c r="T70" s="4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</row>
    <row r="71" spans="1:35" x14ac:dyDescent="0.3">
      <c r="A71" s="24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2"/>
      <c r="T71" s="4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</row>
    <row r="72" spans="1:35" x14ac:dyDescent="0.3">
      <c r="A72" s="24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2"/>
      <c r="T72" s="4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</row>
    <row r="73" spans="1:35" ht="17.5" x14ac:dyDescent="0.3">
      <c r="A73" s="24"/>
      <c r="B73" s="32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4"/>
      <c r="S73" s="22"/>
      <c r="T73" s="4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</row>
    <row r="74" spans="1:35" x14ac:dyDescent="0.3">
      <c r="A74" s="24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2"/>
      <c r="T74" s="4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</row>
    <row r="75" spans="1:35" x14ac:dyDescent="0.3">
      <c r="A75" s="24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2"/>
      <c r="T75" s="4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</row>
    <row r="76" spans="1:35" x14ac:dyDescent="0.3">
      <c r="A76" s="24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2"/>
      <c r="T76" s="4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</row>
    <row r="77" spans="1:35" x14ac:dyDescent="0.3">
      <c r="A77" s="24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2"/>
      <c r="T77" s="4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</row>
    <row r="78" spans="1:35" x14ac:dyDescent="0.3">
      <c r="A78" s="24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2"/>
      <c r="T78" s="4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</row>
    <row r="79" spans="1:35" x14ac:dyDescent="0.3">
      <c r="A79" s="24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2"/>
      <c r="T79" s="4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</row>
    <row r="80" spans="1:35" x14ac:dyDescent="0.3">
      <c r="A80" s="24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2"/>
      <c r="T80" s="4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</row>
    <row r="81" spans="1:35" x14ac:dyDescent="0.3">
      <c r="A81" s="24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2"/>
      <c r="T81" s="4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</row>
    <row r="82" spans="1:35" x14ac:dyDescent="0.3">
      <c r="A82" s="24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2"/>
      <c r="T82" s="4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</row>
    <row r="83" spans="1:35" x14ac:dyDescent="0.3">
      <c r="A83" s="2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2"/>
      <c r="T83" s="4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</row>
    <row r="84" spans="1:35" x14ac:dyDescent="0.3">
      <c r="A84" s="24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2"/>
      <c r="T84" s="4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</row>
    <row r="85" spans="1:35" x14ac:dyDescent="0.3">
      <c r="A85" s="24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2"/>
      <c r="T85" s="4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</row>
    <row r="86" spans="1:35" x14ac:dyDescent="0.3">
      <c r="A86" s="24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2"/>
      <c r="T86" s="4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</row>
    <row r="87" spans="1:35" x14ac:dyDescent="0.3">
      <c r="A87" s="24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2"/>
      <c r="T87" s="4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</row>
    <row r="88" spans="1:35" x14ac:dyDescent="0.3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7"/>
      <c r="T88" s="4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</row>
    <row r="89" spans="1:35" x14ac:dyDescent="0.3">
      <c r="A89" s="24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2"/>
      <c r="T89" s="4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</row>
    <row r="90" spans="1:35" x14ac:dyDescent="0.3">
      <c r="A90" s="24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2"/>
      <c r="T90" s="4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</row>
    <row r="91" spans="1:35" x14ac:dyDescent="0.3">
      <c r="A91" s="24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2"/>
      <c r="T91" s="4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</row>
    <row r="92" spans="1:35" x14ac:dyDescent="0.3">
      <c r="A92" s="24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2"/>
      <c r="T92" s="4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</row>
    <row r="93" spans="1:35" x14ac:dyDescent="0.3">
      <c r="A93" s="24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2"/>
      <c r="T93" s="4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</row>
    <row r="94" spans="1:35" x14ac:dyDescent="0.3">
      <c r="A94" s="24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2"/>
      <c r="T94" s="4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</row>
    <row r="95" spans="1:35" x14ac:dyDescent="0.3">
      <c r="A95" s="24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2"/>
      <c r="T95" s="4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</row>
    <row r="96" spans="1:35" x14ac:dyDescent="0.3">
      <c r="A96" s="24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2"/>
      <c r="T96" s="4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</row>
    <row r="97" spans="1:35" x14ac:dyDescent="0.3">
      <c r="A97" s="24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2"/>
      <c r="T97" s="4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</row>
    <row r="98" spans="1:35" x14ac:dyDescent="0.3">
      <c r="A98" s="24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2"/>
      <c r="T98" s="4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</row>
    <row r="99" spans="1:35" x14ac:dyDescent="0.3">
      <c r="A99" s="24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2"/>
      <c r="T99" s="4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</row>
    <row r="100" spans="1:35" x14ac:dyDescent="0.3">
      <c r="A100" s="24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2"/>
      <c r="T100" s="4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</row>
    <row r="101" spans="1:35" x14ac:dyDescent="0.3">
      <c r="A101" s="24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2"/>
      <c r="T101" s="4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</row>
    <row r="102" spans="1:35" x14ac:dyDescent="0.3">
      <c r="A102" s="24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2"/>
      <c r="T102" s="4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</row>
    <row r="103" spans="1:35" x14ac:dyDescent="0.3">
      <c r="A103" s="24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2"/>
      <c r="T103" s="4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</row>
    <row r="104" spans="1:35" x14ac:dyDescent="0.3">
      <c r="A104" s="24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2"/>
      <c r="T104" s="4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</row>
    <row r="105" spans="1:35" x14ac:dyDescent="0.3">
      <c r="A105" s="24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2"/>
      <c r="T105" s="4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</row>
    <row r="106" spans="1:35" x14ac:dyDescent="0.3">
      <c r="A106" s="24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2"/>
      <c r="T106" s="4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</row>
    <row r="107" spans="1:35" x14ac:dyDescent="0.3">
      <c r="A107" s="35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7"/>
      <c r="T107" s="4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</row>
    <row r="108" spans="1:35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2"/>
      <c r="T108" s="4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</row>
    <row r="109" spans="1:35" x14ac:dyDescent="0.3">
      <c r="A109" s="24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2"/>
      <c r="T109" s="4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</row>
    <row r="110" spans="1:35" x14ac:dyDescent="0.3">
      <c r="A110" s="24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2"/>
      <c r="T110" s="4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</row>
    <row r="111" spans="1:35" x14ac:dyDescent="0.3">
      <c r="A111" s="24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2"/>
      <c r="T111" s="4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</row>
    <row r="112" spans="1:35" x14ac:dyDescent="0.3">
      <c r="A112" s="24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2"/>
      <c r="T112" s="4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</row>
    <row r="113" spans="1:35" x14ac:dyDescent="0.3">
      <c r="A113" s="24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2"/>
      <c r="T113" s="4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</row>
    <row r="114" spans="1:35" x14ac:dyDescent="0.3">
      <c r="A114" s="24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2"/>
      <c r="T114" s="4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</row>
    <row r="115" spans="1:35" x14ac:dyDescent="0.3">
      <c r="A115" s="24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2"/>
      <c r="T115" s="4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</row>
    <row r="116" spans="1:35" x14ac:dyDescent="0.3">
      <c r="A116" s="24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2"/>
      <c r="T116" s="4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</row>
    <row r="117" spans="1:35" x14ac:dyDescent="0.3">
      <c r="A117" s="24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2"/>
      <c r="T117" s="4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</row>
    <row r="118" spans="1:35" x14ac:dyDescent="0.3">
      <c r="A118" s="24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2"/>
      <c r="T118" s="4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</row>
    <row r="119" spans="1:35" x14ac:dyDescent="0.3">
      <c r="A119" s="24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2"/>
      <c r="T119" s="4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</row>
    <row r="120" spans="1:35" x14ac:dyDescent="0.3">
      <c r="A120" s="24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2"/>
      <c r="T120" s="4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</row>
    <row r="121" spans="1:35" x14ac:dyDescent="0.3">
      <c r="A121" s="24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2"/>
      <c r="T121" s="4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</row>
    <row r="122" spans="1:35" x14ac:dyDescent="0.3">
      <c r="A122" s="24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2"/>
      <c r="T122" s="4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</row>
    <row r="123" spans="1:35" x14ac:dyDescent="0.3">
      <c r="A123" s="24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2"/>
      <c r="T123" s="4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</row>
    <row r="124" spans="1:35" x14ac:dyDescent="0.3">
      <c r="A124" s="24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2"/>
      <c r="T124" s="4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</row>
    <row r="125" spans="1:35" ht="18" x14ac:dyDescent="0.3">
      <c r="A125" s="1" t="s">
        <v>11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3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</row>
  </sheetData>
  <mergeCells count="3">
    <mergeCell ref="B2:C2"/>
    <mergeCell ref="A1:S1"/>
    <mergeCell ref="W1:AI1"/>
  </mergeCells>
  <phoneticPr fontId="2" type="noConversion"/>
  <conditionalFormatting sqref="B3:B16">
    <cfRule type="cellIs" dxfId="5" priority="14" operator="lessThan">
      <formula>0</formula>
    </cfRule>
    <cfRule type="cellIs" dxfId="4" priority="15" operator="greaterThan">
      <formula>0</formula>
    </cfRule>
    <cfRule type="cellIs" dxfId="3" priority="16" operator="equal">
      <formula>0</formula>
    </cfRule>
  </conditionalFormatting>
  <conditionalFormatting sqref="R7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cccz</dc:creator>
  <cp:lastModifiedBy>zuo chen</cp:lastModifiedBy>
  <dcterms:created xsi:type="dcterms:W3CDTF">2023-05-12T11:15:00Z</dcterms:created>
  <dcterms:modified xsi:type="dcterms:W3CDTF">2026-07-27T08:15:02Z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